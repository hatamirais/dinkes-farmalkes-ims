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projects\DJANGO-IMS\requirements_draft\"/>
    </mc:Choice>
  </mc:AlternateContent>
  <xr:revisionPtr revIDLastSave="0" documentId="13_ncr:1_{EE43CB7E-7CDB-466D-8B9D-01850F4CCFBB}" xr6:coauthVersionLast="47" xr6:coauthVersionMax="47" xr10:uidLastSave="{00000000-0000-0000-0000-000000000000}"/>
  <bookViews>
    <workbookView xWindow="-108" yWindow="-108" windowWidth="23256" windowHeight="13176" activeTab="1" xr2:uid="{75112259-84AA-4E5E-AC32-82A27B76639F}"/>
  </bookViews>
  <sheets>
    <sheet name="DATA-MASTER" sheetId="1" r:id="rId1"/>
    <sheet name="Sheet2" sheetId="2" r:id="rId2"/>
  </sheets>
  <externalReferences>
    <externalReference r:id="rId3"/>
    <externalReference r:id="rId4"/>
  </externalReferences>
  <definedNames>
    <definedName name="nadik">#REF!</definedName>
    <definedName name="Natrium_Diklofenac_50_Mg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008" i="1" l="1"/>
  <c r="S1008" i="1"/>
  <c r="T1007" i="1"/>
  <c r="S1007" i="1"/>
  <c r="T1006" i="1"/>
  <c r="S1006" i="1"/>
  <c r="T1005" i="1"/>
  <c r="S1005" i="1"/>
  <c r="T1004" i="1"/>
  <c r="S1004" i="1"/>
  <c r="I1003" i="1"/>
  <c r="S1003" i="1" s="1"/>
  <c r="T1003" i="1" s="1"/>
  <c r="S1002" i="1"/>
  <c r="T1002" i="1" s="1"/>
  <c r="T1001" i="1"/>
  <c r="S1001" i="1"/>
  <c r="S1000" i="1"/>
  <c r="T1000" i="1" s="1"/>
  <c r="S999" i="1"/>
  <c r="T999" i="1" s="1"/>
  <c r="S998" i="1"/>
  <c r="T998" i="1" s="1"/>
  <c r="S997" i="1"/>
  <c r="T997" i="1" s="1"/>
  <c r="I997" i="1"/>
  <c r="T996" i="1"/>
  <c r="S996" i="1"/>
  <c r="I996" i="1"/>
  <c r="S995" i="1"/>
  <c r="T995" i="1" s="1"/>
  <c r="I994" i="1"/>
  <c r="S994" i="1" s="1"/>
  <c r="T994" i="1" s="1"/>
  <c r="I993" i="1"/>
  <c r="S993" i="1" s="1"/>
  <c r="T993" i="1" s="1"/>
  <c r="S992" i="1"/>
  <c r="T992" i="1" s="1"/>
  <c r="T991" i="1"/>
  <c r="S991" i="1"/>
  <c r="S990" i="1"/>
  <c r="T990" i="1" s="1"/>
  <c r="I990" i="1"/>
  <c r="I989" i="1"/>
  <c r="S989" i="1" s="1"/>
  <c r="T989" i="1" s="1"/>
  <c r="S988" i="1"/>
  <c r="T988" i="1" s="1"/>
  <c r="I988" i="1"/>
  <c r="S987" i="1"/>
  <c r="T987" i="1" s="1"/>
  <c r="I987" i="1"/>
  <c r="S986" i="1"/>
  <c r="T986" i="1" s="1"/>
  <c r="T985" i="1"/>
  <c r="S985" i="1"/>
  <c r="S984" i="1"/>
  <c r="T984" i="1" s="1"/>
  <c r="S983" i="1"/>
  <c r="T983" i="1" s="1"/>
  <c r="I983" i="1"/>
  <c r="T982" i="1"/>
  <c r="S982" i="1"/>
  <c r="S981" i="1"/>
  <c r="T981" i="1" s="1"/>
  <c r="T980" i="1"/>
  <c r="S980" i="1"/>
  <c r="I980" i="1"/>
  <c r="S979" i="1"/>
  <c r="T979" i="1" s="1"/>
  <c r="I979" i="1"/>
  <c r="T978" i="1"/>
  <c r="S978" i="1"/>
  <c r="T977" i="1"/>
  <c r="S977" i="1"/>
  <c r="S976" i="1"/>
  <c r="T976" i="1" s="1"/>
  <c r="T975" i="1"/>
  <c r="S975" i="1"/>
  <c r="T974" i="1"/>
  <c r="S974" i="1"/>
  <c r="I973" i="1"/>
  <c r="S973" i="1" s="1"/>
  <c r="T973" i="1" s="1"/>
  <c r="S972" i="1"/>
  <c r="T972" i="1" s="1"/>
  <c r="I971" i="1"/>
  <c r="S971" i="1" s="1"/>
  <c r="T971" i="1" s="1"/>
  <c r="T970" i="1"/>
  <c r="S970" i="1"/>
  <c r="T969" i="1"/>
  <c r="S969" i="1"/>
  <c r="T968" i="1"/>
  <c r="S968" i="1"/>
  <c r="T967" i="1"/>
  <c r="S967" i="1"/>
  <c r="S966" i="1"/>
  <c r="T966" i="1" s="1"/>
  <c r="S965" i="1"/>
  <c r="T965" i="1" s="1"/>
  <c r="S964" i="1"/>
  <c r="T964" i="1" s="1"/>
  <c r="Q963" i="1"/>
  <c r="O963" i="1"/>
  <c r="M963" i="1"/>
  <c r="K963" i="1"/>
  <c r="I963" i="1"/>
  <c r="S963" i="1" s="1"/>
  <c r="P962" i="1"/>
  <c r="Q962" i="1" s="1"/>
  <c r="O962" i="1"/>
  <c r="M962" i="1"/>
  <c r="K962" i="1"/>
  <c r="I962" i="1"/>
  <c r="S962" i="1" s="1"/>
  <c r="S961" i="1"/>
  <c r="P961" i="1"/>
  <c r="Q961" i="1" s="1"/>
  <c r="T961" i="1" s="1"/>
  <c r="O961" i="1"/>
  <c r="M961" i="1"/>
  <c r="K961" i="1"/>
  <c r="I961" i="1"/>
  <c r="P960" i="1"/>
  <c r="Q960" i="1" s="1"/>
  <c r="O960" i="1"/>
  <c r="M960" i="1"/>
  <c r="K960" i="1"/>
  <c r="I960" i="1"/>
  <c r="S960" i="1" s="1"/>
  <c r="P959" i="1"/>
  <c r="Q959" i="1" s="1"/>
  <c r="T959" i="1" s="1"/>
  <c r="O959" i="1"/>
  <c r="M959" i="1"/>
  <c r="K959" i="1"/>
  <c r="I959" i="1"/>
  <c r="S959" i="1" s="1"/>
  <c r="S958" i="1"/>
  <c r="P958" i="1"/>
  <c r="Q958" i="1" s="1"/>
  <c r="T958" i="1" s="1"/>
  <c r="O958" i="1"/>
  <c r="M958" i="1"/>
  <c r="K958" i="1"/>
  <c r="I958" i="1"/>
  <c r="P957" i="1"/>
  <c r="Q957" i="1" s="1"/>
  <c r="O957" i="1"/>
  <c r="M957" i="1"/>
  <c r="K957" i="1"/>
  <c r="I957" i="1"/>
  <c r="P956" i="1"/>
  <c r="Q956" i="1" s="1"/>
  <c r="O956" i="1"/>
  <c r="M956" i="1"/>
  <c r="K956" i="1"/>
  <c r="I956" i="1"/>
  <c r="S956" i="1" s="1"/>
  <c r="S955" i="1"/>
  <c r="P955" i="1"/>
  <c r="Q955" i="1" s="1"/>
  <c r="T955" i="1" s="1"/>
  <c r="O955" i="1"/>
  <c r="M955" i="1"/>
  <c r="K955" i="1"/>
  <c r="I955" i="1"/>
  <c r="P954" i="1"/>
  <c r="Q954" i="1" s="1"/>
  <c r="O954" i="1"/>
  <c r="M954" i="1"/>
  <c r="K954" i="1"/>
  <c r="I954" i="1"/>
  <c r="P953" i="1"/>
  <c r="Q953" i="1" s="1"/>
  <c r="T953" i="1" s="1"/>
  <c r="O953" i="1"/>
  <c r="M953" i="1"/>
  <c r="K953" i="1"/>
  <c r="I953" i="1"/>
  <c r="S953" i="1" s="1"/>
  <c r="S952" i="1"/>
  <c r="P952" i="1"/>
  <c r="Q952" i="1" s="1"/>
  <c r="T952" i="1" s="1"/>
  <c r="O952" i="1"/>
  <c r="M952" i="1"/>
  <c r="K952" i="1"/>
  <c r="I952" i="1"/>
  <c r="P951" i="1"/>
  <c r="Q951" i="1" s="1"/>
  <c r="O951" i="1"/>
  <c r="M951" i="1"/>
  <c r="K951" i="1"/>
  <c r="I951" i="1"/>
  <c r="P950" i="1"/>
  <c r="Q950" i="1" s="1"/>
  <c r="O950" i="1"/>
  <c r="M950" i="1"/>
  <c r="K950" i="1"/>
  <c r="I950" i="1"/>
  <c r="S950" i="1" s="1"/>
  <c r="S949" i="1"/>
  <c r="P949" i="1"/>
  <c r="Q949" i="1" s="1"/>
  <c r="T949" i="1" s="1"/>
  <c r="O949" i="1"/>
  <c r="M949" i="1"/>
  <c r="K949" i="1"/>
  <c r="I949" i="1"/>
  <c r="P948" i="1"/>
  <c r="Q948" i="1" s="1"/>
  <c r="O948" i="1"/>
  <c r="M948" i="1"/>
  <c r="K948" i="1"/>
  <c r="I948" i="1"/>
  <c r="P947" i="1"/>
  <c r="Q947" i="1" s="1"/>
  <c r="T947" i="1" s="1"/>
  <c r="O947" i="1"/>
  <c r="M947" i="1"/>
  <c r="K947" i="1"/>
  <c r="I947" i="1"/>
  <c r="S947" i="1" s="1"/>
  <c r="S946" i="1"/>
  <c r="P946" i="1"/>
  <c r="Q946" i="1" s="1"/>
  <c r="T946" i="1" s="1"/>
  <c r="O946" i="1"/>
  <c r="M946" i="1"/>
  <c r="K946" i="1"/>
  <c r="I946" i="1"/>
  <c r="P945" i="1"/>
  <c r="Q945" i="1" s="1"/>
  <c r="O945" i="1"/>
  <c r="M945" i="1"/>
  <c r="K945" i="1"/>
  <c r="I945" i="1"/>
  <c r="P944" i="1"/>
  <c r="Q944" i="1" s="1"/>
  <c r="O944" i="1"/>
  <c r="M944" i="1"/>
  <c r="K944" i="1"/>
  <c r="I944" i="1"/>
  <c r="S944" i="1" s="1"/>
  <c r="S943" i="1"/>
  <c r="P943" i="1"/>
  <c r="Q943" i="1" s="1"/>
  <c r="T943" i="1" s="1"/>
  <c r="O943" i="1"/>
  <c r="M943" i="1"/>
  <c r="K943" i="1"/>
  <c r="I943" i="1"/>
  <c r="P942" i="1"/>
  <c r="Q942" i="1" s="1"/>
  <c r="O942" i="1"/>
  <c r="M942" i="1"/>
  <c r="K942" i="1"/>
  <c r="I942" i="1"/>
  <c r="P941" i="1"/>
  <c r="Q941" i="1" s="1"/>
  <c r="T941" i="1" s="1"/>
  <c r="O941" i="1"/>
  <c r="M941" i="1"/>
  <c r="K941" i="1"/>
  <c r="I941" i="1"/>
  <c r="S941" i="1" s="1"/>
  <c r="S940" i="1"/>
  <c r="P940" i="1"/>
  <c r="Q940" i="1" s="1"/>
  <c r="T940" i="1" s="1"/>
  <c r="O940" i="1"/>
  <c r="M940" i="1"/>
  <c r="K940" i="1"/>
  <c r="I940" i="1"/>
  <c r="P939" i="1"/>
  <c r="Q939" i="1" s="1"/>
  <c r="O939" i="1"/>
  <c r="M939" i="1"/>
  <c r="K939" i="1"/>
  <c r="I939" i="1"/>
  <c r="P938" i="1"/>
  <c r="Q938" i="1" s="1"/>
  <c r="O938" i="1"/>
  <c r="M938" i="1"/>
  <c r="K938" i="1"/>
  <c r="I938" i="1"/>
  <c r="S938" i="1" s="1"/>
  <c r="S937" i="1"/>
  <c r="P937" i="1"/>
  <c r="Q937" i="1" s="1"/>
  <c r="T937" i="1" s="1"/>
  <c r="O937" i="1"/>
  <c r="M937" i="1"/>
  <c r="K937" i="1"/>
  <c r="I937" i="1"/>
  <c r="P936" i="1"/>
  <c r="Q936" i="1" s="1"/>
  <c r="O936" i="1"/>
  <c r="M936" i="1"/>
  <c r="K936" i="1"/>
  <c r="I936" i="1"/>
  <c r="P935" i="1"/>
  <c r="Q935" i="1" s="1"/>
  <c r="T935" i="1" s="1"/>
  <c r="O935" i="1"/>
  <c r="M935" i="1"/>
  <c r="K935" i="1"/>
  <c r="I935" i="1"/>
  <c r="S935" i="1" s="1"/>
  <c r="S934" i="1"/>
  <c r="P934" i="1"/>
  <c r="Q934" i="1" s="1"/>
  <c r="T934" i="1" s="1"/>
  <c r="O934" i="1"/>
  <c r="M934" i="1"/>
  <c r="K934" i="1"/>
  <c r="I934" i="1"/>
  <c r="P933" i="1"/>
  <c r="Q933" i="1" s="1"/>
  <c r="O933" i="1"/>
  <c r="M933" i="1"/>
  <c r="K933" i="1"/>
  <c r="I933" i="1"/>
  <c r="P932" i="1"/>
  <c r="Q932" i="1" s="1"/>
  <c r="O932" i="1"/>
  <c r="M932" i="1"/>
  <c r="K932" i="1"/>
  <c r="I932" i="1"/>
  <c r="S932" i="1" s="1"/>
  <c r="S931" i="1"/>
  <c r="P931" i="1"/>
  <c r="Q931" i="1" s="1"/>
  <c r="T931" i="1" s="1"/>
  <c r="O931" i="1"/>
  <c r="M931" i="1"/>
  <c r="K931" i="1"/>
  <c r="I931" i="1"/>
  <c r="P930" i="1"/>
  <c r="Q930" i="1" s="1"/>
  <c r="O930" i="1"/>
  <c r="M930" i="1"/>
  <c r="K930" i="1"/>
  <c r="I930" i="1"/>
  <c r="P929" i="1"/>
  <c r="Q929" i="1" s="1"/>
  <c r="T929" i="1" s="1"/>
  <c r="O929" i="1"/>
  <c r="M929" i="1"/>
  <c r="K929" i="1"/>
  <c r="I929" i="1"/>
  <c r="S929" i="1" s="1"/>
  <c r="S928" i="1"/>
  <c r="Q928" i="1"/>
  <c r="T928" i="1" s="1"/>
  <c r="P928" i="1"/>
  <c r="O928" i="1"/>
  <c r="M928" i="1"/>
  <c r="K928" i="1"/>
  <c r="I928" i="1"/>
  <c r="P927" i="1"/>
  <c r="Q927" i="1" s="1"/>
  <c r="O927" i="1"/>
  <c r="M927" i="1"/>
  <c r="K927" i="1"/>
  <c r="I927" i="1"/>
  <c r="P926" i="1"/>
  <c r="Q926" i="1" s="1"/>
  <c r="O926" i="1"/>
  <c r="M926" i="1"/>
  <c r="K926" i="1"/>
  <c r="I926" i="1"/>
  <c r="S926" i="1" s="1"/>
  <c r="S925" i="1"/>
  <c r="P925" i="1"/>
  <c r="Q925" i="1" s="1"/>
  <c r="O925" i="1"/>
  <c r="M925" i="1"/>
  <c r="K925" i="1"/>
  <c r="I925" i="1"/>
  <c r="P924" i="1"/>
  <c r="Q924" i="1" s="1"/>
  <c r="O924" i="1"/>
  <c r="M924" i="1"/>
  <c r="K924" i="1"/>
  <c r="I924" i="1"/>
  <c r="P923" i="1"/>
  <c r="Q923" i="1" s="1"/>
  <c r="T923" i="1" s="1"/>
  <c r="O923" i="1"/>
  <c r="M923" i="1"/>
  <c r="K923" i="1"/>
  <c r="I923" i="1"/>
  <c r="S923" i="1" s="1"/>
  <c r="S922" i="1"/>
  <c r="Q922" i="1"/>
  <c r="T922" i="1" s="1"/>
  <c r="P922" i="1"/>
  <c r="O922" i="1"/>
  <c r="M922" i="1"/>
  <c r="K922" i="1"/>
  <c r="I922" i="1"/>
  <c r="P921" i="1"/>
  <c r="Q921" i="1" s="1"/>
  <c r="O921" i="1"/>
  <c r="M921" i="1"/>
  <c r="K921" i="1"/>
  <c r="I921" i="1"/>
  <c r="P920" i="1"/>
  <c r="Q920" i="1" s="1"/>
  <c r="O920" i="1"/>
  <c r="M920" i="1"/>
  <c r="K920" i="1"/>
  <c r="I920" i="1"/>
  <c r="S920" i="1" s="1"/>
  <c r="S919" i="1"/>
  <c r="P919" i="1"/>
  <c r="Q919" i="1" s="1"/>
  <c r="T919" i="1" s="1"/>
  <c r="O919" i="1"/>
  <c r="M919" i="1"/>
  <c r="K919" i="1"/>
  <c r="I919" i="1"/>
  <c r="P918" i="1"/>
  <c r="Q918" i="1" s="1"/>
  <c r="O918" i="1"/>
  <c r="M918" i="1"/>
  <c r="K918" i="1"/>
  <c r="I918" i="1"/>
  <c r="P917" i="1"/>
  <c r="Q917" i="1" s="1"/>
  <c r="T917" i="1" s="1"/>
  <c r="O917" i="1"/>
  <c r="M917" i="1"/>
  <c r="K917" i="1"/>
  <c r="I917" i="1"/>
  <c r="S917" i="1" s="1"/>
  <c r="S916" i="1"/>
  <c r="Q916" i="1"/>
  <c r="T916" i="1" s="1"/>
  <c r="P916" i="1"/>
  <c r="O916" i="1"/>
  <c r="M916" i="1"/>
  <c r="K916" i="1"/>
  <c r="I916" i="1"/>
  <c r="P915" i="1"/>
  <c r="Q915" i="1" s="1"/>
  <c r="O915" i="1"/>
  <c r="M915" i="1"/>
  <c r="K915" i="1"/>
  <c r="I915" i="1"/>
  <c r="P914" i="1"/>
  <c r="Q914" i="1" s="1"/>
  <c r="O914" i="1"/>
  <c r="M914" i="1"/>
  <c r="K914" i="1"/>
  <c r="I914" i="1"/>
  <c r="S914" i="1" s="1"/>
  <c r="S913" i="1"/>
  <c r="P913" i="1"/>
  <c r="Q913" i="1" s="1"/>
  <c r="T913" i="1" s="1"/>
  <c r="O913" i="1"/>
  <c r="M913" i="1"/>
  <c r="K913" i="1"/>
  <c r="I913" i="1"/>
  <c r="P912" i="1"/>
  <c r="Q912" i="1" s="1"/>
  <c r="O912" i="1"/>
  <c r="M912" i="1"/>
  <c r="K912" i="1"/>
  <c r="I912" i="1"/>
  <c r="P911" i="1"/>
  <c r="Q911" i="1" s="1"/>
  <c r="T911" i="1" s="1"/>
  <c r="O911" i="1"/>
  <c r="M911" i="1"/>
  <c r="K911" i="1"/>
  <c r="I911" i="1"/>
  <c r="S911" i="1" s="1"/>
  <c r="S910" i="1"/>
  <c r="Q910" i="1"/>
  <c r="T910" i="1" s="1"/>
  <c r="P910" i="1"/>
  <c r="O910" i="1"/>
  <c r="M910" i="1"/>
  <c r="K910" i="1"/>
  <c r="I910" i="1"/>
  <c r="P909" i="1"/>
  <c r="Q909" i="1" s="1"/>
  <c r="O909" i="1"/>
  <c r="M909" i="1"/>
  <c r="K909" i="1"/>
  <c r="I909" i="1"/>
  <c r="P908" i="1"/>
  <c r="Q908" i="1" s="1"/>
  <c r="O908" i="1"/>
  <c r="M908" i="1"/>
  <c r="K908" i="1"/>
  <c r="I908" i="1"/>
  <c r="S908" i="1" s="1"/>
  <c r="S907" i="1"/>
  <c r="P907" i="1"/>
  <c r="Q907" i="1" s="1"/>
  <c r="T907" i="1" s="1"/>
  <c r="O907" i="1"/>
  <c r="M907" i="1"/>
  <c r="K907" i="1"/>
  <c r="I907" i="1"/>
  <c r="P906" i="1"/>
  <c r="Q906" i="1" s="1"/>
  <c r="O906" i="1"/>
  <c r="M906" i="1"/>
  <c r="K906" i="1"/>
  <c r="I906" i="1"/>
  <c r="P905" i="1"/>
  <c r="Q905" i="1" s="1"/>
  <c r="T905" i="1" s="1"/>
  <c r="O905" i="1"/>
  <c r="M905" i="1"/>
  <c r="K905" i="1"/>
  <c r="I905" i="1"/>
  <c r="S905" i="1" s="1"/>
  <c r="S904" i="1"/>
  <c r="Q904" i="1"/>
  <c r="T904" i="1" s="1"/>
  <c r="P904" i="1"/>
  <c r="O904" i="1"/>
  <c r="M904" i="1"/>
  <c r="K904" i="1"/>
  <c r="I904" i="1"/>
  <c r="P903" i="1"/>
  <c r="Q903" i="1" s="1"/>
  <c r="O903" i="1"/>
  <c r="M903" i="1"/>
  <c r="K903" i="1"/>
  <c r="I903" i="1"/>
  <c r="P902" i="1"/>
  <c r="Q902" i="1" s="1"/>
  <c r="O902" i="1"/>
  <c r="M902" i="1"/>
  <c r="K902" i="1"/>
  <c r="I902" i="1"/>
  <c r="S902" i="1" s="1"/>
  <c r="S901" i="1"/>
  <c r="P901" i="1"/>
  <c r="Q901" i="1" s="1"/>
  <c r="O901" i="1"/>
  <c r="M901" i="1"/>
  <c r="K901" i="1"/>
  <c r="I901" i="1"/>
  <c r="P900" i="1"/>
  <c r="Q900" i="1" s="1"/>
  <c r="O900" i="1"/>
  <c r="M900" i="1"/>
  <c r="K900" i="1"/>
  <c r="I900" i="1"/>
  <c r="P899" i="1"/>
  <c r="Q899" i="1" s="1"/>
  <c r="T899" i="1" s="1"/>
  <c r="O899" i="1"/>
  <c r="M899" i="1"/>
  <c r="K899" i="1"/>
  <c r="I899" i="1"/>
  <c r="S899" i="1" s="1"/>
  <c r="S898" i="1"/>
  <c r="Q898" i="1"/>
  <c r="T898" i="1" s="1"/>
  <c r="P898" i="1"/>
  <c r="O898" i="1"/>
  <c r="M898" i="1"/>
  <c r="K898" i="1"/>
  <c r="I898" i="1"/>
  <c r="P897" i="1"/>
  <c r="Q897" i="1" s="1"/>
  <c r="O897" i="1"/>
  <c r="M897" i="1"/>
  <c r="K897" i="1"/>
  <c r="I897" i="1"/>
  <c r="P896" i="1"/>
  <c r="Q896" i="1" s="1"/>
  <c r="O896" i="1"/>
  <c r="M896" i="1"/>
  <c r="K896" i="1"/>
  <c r="I896" i="1"/>
  <c r="S896" i="1" s="1"/>
  <c r="S895" i="1"/>
  <c r="P895" i="1"/>
  <c r="Q895" i="1" s="1"/>
  <c r="T895" i="1" s="1"/>
  <c r="O895" i="1"/>
  <c r="M895" i="1"/>
  <c r="K895" i="1"/>
  <c r="I895" i="1"/>
  <c r="P894" i="1"/>
  <c r="Q894" i="1" s="1"/>
  <c r="O894" i="1"/>
  <c r="M894" i="1"/>
  <c r="K894" i="1"/>
  <c r="I894" i="1"/>
  <c r="P893" i="1"/>
  <c r="Q893" i="1" s="1"/>
  <c r="T893" i="1" s="1"/>
  <c r="O893" i="1"/>
  <c r="M893" i="1"/>
  <c r="K893" i="1"/>
  <c r="I893" i="1"/>
  <c r="S893" i="1" s="1"/>
  <c r="S892" i="1"/>
  <c r="Q892" i="1"/>
  <c r="T892" i="1" s="1"/>
  <c r="P892" i="1"/>
  <c r="O892" i="1"/>
  <c r="M892" i="1"/>
  <c r="K892" i="1"/>
  <c r="I892" i="1"/>
  <c r="P891" i="1"/>
  <c r="Q891" i="1" s="1"/>
  <c r="O891" i="1"/>
  <c r="M891" i="1"/>
  <c r="K891" i="1"/>
  <c r="I891" i="1"/>
  <c r="P890" i="1"/>
  <c r="Q890" i="1" s="1"/>
  <c r="O890" i="1"/>
  <c r="M890" i="1"/>
  <c r="K890" i="1"/>
  <c r="I890" i="1"/>
  <c r="S890" i="1" s="1"/>
  <c r="S889" i="1"/>
  <c r="T889" i="1" s="1"/>
  <c r="Q889" i="1"/>
  <c r="P889" i="1"/>
  <c r="O889" i="1"/>
  <c r="M889" i="1"/>
  <c r="K889" i="1"/>
  <c r="I889" i="1"/>
  <c r="P888" i="1"/>
  <c r="Q888" i="1" s="1"/>
  <c r="O888" i="1"/>
  <c r="M888" i="1"/>
  <c r="K888" i="1"/>
  <c r="I888" i="1"/>
  <c r="P887" i="1"/>
  <c r="Q887" i="1" s="1"/>
  <c r="T887" i="1" s="1"/>
  <c r="O887" i="1"/>
  <c r="M887" i="1"/>
  <c r="K887" i="1"/>
  <c r="I887" i="1"/>
  <c r="S887" i="1" s="1"/>
  <c r="S886" i="1"/>
  <c r="Q886" i="1"/>
  <c r="T886" i="1" s="1"/>
  <c r="P886" i="1"/>
  <c r="O886" i="1"/>
  <c r="M886" i="1"/>
  <c r="K886" i="1"/>
  <c r="I886" i="1"/>
  <c r="P885" i="1"/>
  <c r="Q885" i="1" s="1"/>
  <c r="O885" i="1"/>
  <c r="M885" i="1"/>
  <c r="K885" i="1"/>
  <c r="I885" i="1"/>
  <c r="P884" i="1"/>
  <c r="Q884" i="1" s="1"/>
  <c r="O884" i="1"/>
  <c r="M884" i="1"/>
  <c r="K884" i="1"/>
  <c r="I884" i="1"/>
  <c r="S884" i="1" s="1"/>
  <c r="S883" i="1"/>
  <c r="T883" i="1" s="1"/>
  <c r="Q883" i="1"/>
  <c r="P883" i="1"/>
  <c r="O883" i="1"/>
  <c r="M883" i="1"/>
  <c r="K883" i="1"/>
  <c r="I883" i="1"/>
  <c r="P882" i="1"/>
  <c r="Q882" i="1" s="1"/>
  <c r="O882" i="1"/>
  <c r="M882" i="1"/>
  <c r="K882" i="1"/>
  <c r="I882" i="1"/>
  <c r="P881" i="1"/>
  <c r="Q881" i="1" s="1"/>
  <c r="T881" i="1" s="1"/>
  <c r="O881" i="1"/>
  <c r="M881" i="1"/>
  <c r="K881" i="1"/>
  <c r="I881" i="1"/>
  <c r="S881" i="1" s="1"/>
  <c r="S880" i="1"/>
  <c r="Q880" i="1"/>
  <c r="T880" i="1" s="1"/>
  <c r="P880" i="1"/>
  <c r="O880" i="1"/>
  <c r="M880" i="1"/>
  <c r="K880" i="1"/>
  <c r="I880" i="1"/>
  <c r="P879" i="1"/>
  <c r="Q879" i="1" s="1"/>
  <c r="O879" i="1"/>
  <c r="M879" i="1"/>
  <c r="K879" i="1"/>
  <c r="I879" i="1"/>
  <c r="P878" i="1"/>
  <c r="Q878" i="1" s="1"/>
  <c r="O878" i="1"/>
  <c r="M878" i="1"/>
  <c r="K878" i="1"/>
  <c r="I878" i="1"/>
  <c r="S878" i="1" s="1"/>
  <c r="S877" i="1"/>
  <c r="T877" i="1" s="1"/>
  <c r="Q877" i="1"/>
  <c r="P877" i="1"/>
  <c r="O877" i="1"/>
  <c r="M877" i="1"/>
  <c r="K877" i="1"/>
  <c r="I877" i="1"/>
  <c r="P876" i="1"/>
  <c r="Q876" i="1" s="1"/>
  <c r="O876" i="1"/>
  <c r="M876" i="1"/>
  <c r="K876" i="1"/>
  <c r="I876" i="1"/>
  <c r="P875" i="1"/>
  <c r="Q875" i="1" s="1"/>
  <c r="T875" i="1" s="1"/>
  <c r="O875" i="1"/>
  <c r="M875" i="1"/>
  <c r="K875" i="1"/>
  <c r="I875" i="1"/>
  <c r="S875" i="1" s="1"/>
  <c r="S874" i="1"/>
  <c r="Q874" i="1"/>
  <c r="T874" i="1" s="1"/>
  <c r="P874" i="1"/>
  <c r="O874" i="1"/>
  <c r="M874" i="1"/>
  <c r="K874" i="1"/>
  <c r="I874" i="1"/>
  <c r="P873" i="1"/>
  <c r="Q873" i="1" s="1"/>
  <c r="O873" i="1"/>
  <c r="M873" i="1"/>
  <c r="K873" i="1"/>
  <c r="I873" i="1"/>
  <c r="P872" i="1"/>
  <c r="Q872" i="1" s="1"/>
  <c r="O872" i="1"/>
  <c r="M872" i="1"/>
  <c r="K872" i="1"/>
  <c r="I872" i="1"/>
  <c r="S872" i="1" s="1"/>
  <c r="S871" i="1"/>
  <c r="T871" i="1" s="1"/>
  <c r="Q871" i="1"/>
  <c r="P871" i="1"/>
  <c r="O871" i="1"/>
  <c r="M871" i="1"/>
  <c r="K871" i="1"/>
  <c r="I871" i="1"/>
  <c r="P870" i="1"/>
  <c r="Q870" i="1" s="1"/>
  <c r="O870" i="1"/>
  <c r="M870" i="1"/>
  <c r="K870" i="1"/>
  <c r="I870" i="1"/>
  <c r="P869" i="1"/>
  <c r="Q869" i="1" s="1"/>
  <c r="T869" i="1" s="1"/>
  <c r="O869" i="1"/>
  <c r="M869" i="1"/>
  <c r="K869" i="1"/>
  <c r="I869" i="1"/>
  <c r="S869" i="1" s="1"/>
  <c r="S868" i="1"/>
  <c r="Q868" i="1"/>
  <c r="T868" i="1" s="1"/>
  <c r="P868" i="1"/>
  <c r="O868" i="1"/>
  <c r="M868" i="1"/>
  <c r="K868" i="1"/>
  <c r="I868" i="1"/>
  <c r="P867" i="1"/>
  <c r="Q867" i="1" s="1"/>
  <c r="O867" i="1"/>
  <c r="M867" i="1"/>
  <c r="K867" i="1"/>
  <c r="I867" i="1"/>
  <c r="P866" i="1"/>
  <c r="Q866" i="1" s="1"/>
  <c r="O866" i="1"/>
  <c r="M866" i="1"/>
  <c r="K866" i="1"/>
  <c r="I866" i="1"/>
  <c r="S866" i="1" s="1"/>
  <c r="S865" i="1"/>
  <c r="T865" i="1" s="1"/>
  <c r="Q865" i="1"/>
  <c r="P865" i="1"/>
  <c r="O865" i="1"/>
  <c r="M865" i="1"/>
  <c r="K865" i="1"/>
  <c r="I865" i="1"/>
  <c r="P864" i="1"/>
  <c r="Q864" i="1" s="1"/>
  <c r="O864" i="1"/>
  <c r="M864" i="1"/>
  <c r="K864" i="1"/>
  <c r="I864" i="1"/>
  <c r="P863" i="1"/>
  <c r="Q863" i="1" s="1"/>
  <c r="T863" i="1" s="1"/>
  <c r="O863" i="1"/>
  <c r="M863" i="1"/>
  <c r="K863" i="1"/>
  <c r="I863" i="1"/>
  <c r="S863" i="1" s="1"/>
  <c r="S862" i="1"/>
  <c r="Q862" i="1"/>
  <c r="T862" i="1" s="1"/>
  <c r="P862" i="1"/>
  <c r="O862" i="1"/>
  <c r="M862" i="1"/>
  <c r="K862" i="1"/>
  <c r="I862" i="1"/>
  <c r="P861" i="1"/>
  <c r="Q861" i="1" s="1"/>
  <c r="O861" i="1"/>
  <c r="M861" i="1"/>
  <c r="K861" i="1"/>
  <c r="I861" i="1"/>
  <c r="P860" i="1"/>
  <c r="Q860" i="1" s="1"/>
  <c r="O860" i="1"/>
  <c r="M860" i="1"/>
  <c r="K860" i="1"/>
  <c r="I860" i="1"/>
  <c r="S860" i="1" s="1"/>
  <c r="S859" i="1"/>
  <c r="T859" i="1" s="1"/>
  <c r="Q859" i="1"/>
  <c r="P859" i="1"/>
  <c r="O859" i="1"/>
  <c r="M859" i="1"/>
  <c r="K859" i="1"/>
  <c r="I859" i="1"/>
  <c r="P858" i="1"/>
  <c r="Q858" i="1" s="1"/>
  <c r="O858" i="1"/>
  <c r="M858" i="1"/>
  <c r="K858" i="1"/>
  <c r="I858" i="1"/>
  <c r="P857" i="1"/>
  <c r="Q857" i="1" s="1"/>
  <c r="T857" i="1" s="1"/>
  <c r="O857" i="1"/>
  <c r="M857" i="1"/>
  <c r="K857" i="1"/>
  <c r="I857" i="1"/>
  <c r="S857" i="1" s="1"/>
  <c r="S856" i="1"/>
  <c r="Q856" i="1"/>
  <c r="T856" i="1" s="1"/>
  <c r="P856" i="1"/>
  <c r="O856" i="1"/>
  <c r="M856" i="1"/>
  <c r="K856" i="1"/>
  <c r="I856" i="1"/>
  <c r="P855" i="1"/>
  <c r="Q855" i="1" s="1"/>
  <c r="O855" i="1"/>
  <c r="M855" i="1"/>
  <c r="K855" i="1"/>
  <c r="I855" i="1"/>
  <c r="P854" i="1"/>
  <c r="Q854" i="1" s="1"/>
  <c r="O854" i="1"/>
  <c r="M854" i="1"/>
  <c r="K854" i="1"/>
  <c r="I854" i="1"/>
  <c r="S854" i="1" s="1"/>
  <c r="S853" i="1"/>
  <c r="T853" i="1" s="1"/>
  <c r="Q853" i="1"/>
  <c r="P853" i="1"/>
  <c r="O853" i="1"/>
  <c r="M853" i="1"/>
  <c r="K853" i="1"/>
  <c r="I853" i="1"/>
  <c r="P852" i="1"/>
  <c r="Q852" i="1" s="1"/>
  <c r="O852" i="1"/>
  <c r="M852" i="1"/>
  <c r="K852" i="1"/>
  <c r="I852" i="1"/>
  <c r="P851" i="1"/>
  <c r="Q851" i="1" s="1"/>
  <c r="T851" i="1" s="1"/>
  <c r="O851" i="1"/>
  <c r="M851" i="1"/>
  <c r="K851" i="1"/>
  <c r="I851" i="1"/>
  <c r="S851" i="1" s="1"/>
  <c r="Q850" i="1"/>
  <c r="T850" i="1" s="1"/>
  <c r="P850" i="1"/>
  <c r="O850" i="1"/>
  <c r="M850" i="1"/>
  <c r="K850" i="1"/>
  <c r="I850" i="1"/>
  <c r="S850" i="1" s="1"/>
  <c r="P849" i="1"/>
  <c r="Q849" i="1" s="1"/>
  <c r="O849" i="1"/>
  <c r="M849" i="1"/>
  <c r="K849" i="1"/>
  <c r="I849" i="1"/>
  <c r="P848" i="1"/>
  <c r="Q848" i="1" s="1"/>
  <c r="O848" i="1"/>
  <c r="M848" i="1"/>
  <c r="K848" i="1"/>
  <c r="I848" i="1"/>
  <c r="S848" i="1" s="1"/>
  <c r="S847" i="1"/>
  <c r="T847" i="1" s="1"/>
  <c r="Q847" i="1"/>
  <c r="P847" i="1"/>
  <c r="O847" i="1"/>
  <c r="M847" i="1"/>
  <c r="K847" i="1"/>
  <c r="I847" i="1"/>
  <c r="P846" i="1"/>
  <c r="Q846" i="1" s="1"/>
  <c r="O846" i="1"/>
  <c r="M846" i="1"/>
  <c r="K846" i="1"/>
  <c r="I846" i="1"/>
  <c r="P845" i="1"/>
  <c r="Q845" i="1" s="1"/>
  <c r="T845" i="1" s="1"/>
  <c r="O845" i="1"/>
  <c r="M845" i="1"/>
  <c r="K845" i="1"/>
  <c r="I845" i="1"/>
  <c r="S845" i="1" s="1"/>
  <c r="Q844" i="1"/>
  <c r="T844" i="1" s="1"/>
  <c r="P844" i="1"/>
  <c r="O844" i="1"/>
  <c r="M844" i="1"/>
  <c r="K844" i="1"/>
  <c r="I844" i="1"/>
  <c r="S844" i="1" s="1"/>
  <c r="P843" i="1"/>
  <c r="Q843" i="1" s="1"/>
  <c r="O843" i="1"/>
  <c r="M843" i="1"/>
  <c r="K843" i="1"/>
  <c r="I843" i="1"/>
  <c r="P842" i="1"/>
  <c r="Q842" i="1" s="1"/>
  <c r="O842" i="1"/>
  <c r="M842" i="1"/>
  <c r="K842" i="1"/>
  <c r="I842" i="1"/>
  <c r="S842" i="1" s="1"/>
  <c r="S841" i="1"/>
  <c r="T841" i="1" s="1"/>
  <c r="Q841" i="1"/>
  <c r="P841" i="1"/>
  <c r="O841" i="1"/>
  <c r="M841" i="1"/>
  <c r="K841" i="1"/>
  <c r="I841" i="1"/>
  <c r="P840" i="1"/>
  <c r="Q840" i="1" s="1"/>
  <c r="O840" i="1"/>
  <c r="M840" i="1"/>
  <c r="K840" i="1"/>
  <c r="I840" i="1"/>
  <c r="P839" i="1"/>
  <c r="Q839" i="1" s="1"/>
  <c r="T839" i="1" s="1"/>
  <c r="O839" i="1"/>
  <c r="M839" i="1"/>
  <c r="K839" i="1"/>
  <c r="I839" i="1"/>
  <c r="S839" i="1" s="1"/>
  <c r="Q838" i="1"/>
  <c r="P838" i="1"/>
  <c r="O838" i="1"/>
  <c r="M838" i="1"/>
  <c r="K838" i="1"/>
  <c r="I838" i="1"/>
  <c r="S838" i="1" s="1"/>
  <c r="P837" i="1"/>
  <c r="Q837" i="1" s="1"/>
  <c r="O837" i="1"/>
  <c r="M837" i="1"/>
  <c r="K837" i="1"/>
  <c r="I837" i="1"/>
  <c r="P836" i="1"/>
  <c r="Q836" i="1" s="1"/>
  <c r="O836" i="1"/>
  <c r="M836" i="1"/>
  <c r="K836" i="1"/>
  <c r="I836" i="1"/>
  <c r="S836" i="1" s="1"/>
  <c r="S835" i="1"/>
  <c r="T835" i="1" s="1"/>
  <c r="Q835" i="1"/>
  <c r="P835" i="1"/>
  <c r="O835" i="1"/>
  <c r="M835" i="1"/>
  <c r="K835" i="1"/>
  <c r="I835" i="1"/>
  <c r="P834" i="1"/>
  <c r="Q834" i="1" s="1"/>
  <c r="O834" i="1"/>
  <c r="M834" i="1"/>
  <c r="K834" i="1"/>
  <c r="I834" i="1"/>
  <c r="P833" i="1"/>
  <c r="Q833" i="1" s="1"/>
  <c r="T833" i="1" s="1"/>
  <c r="O833" i="1"/>
  <c r="M833" i="1"/>
  <c r="K833" i="1"/>
  <c r="I833" i="1"/>
  <c r="S833" i="1" s="1"/>
  <c r="Q832" i="1"/>
  <c r="P832" i="1"/>
  <c r="O832" i="1"/>
  <c r="M832" i="1"/>
  <c r="K832" i="1"/>
  <c r="I832" i="1"/>
  <c r="S832" i="1" s="1"/>
  <c r="P831" i="1"/>
  <c r="Q831" i="1" s="1"/>
  <c r="O831" i="1"/>
  <c r="M831" i="1"/>
  <c r="K831" i="1"/>
  <c r="I831" i="1"/>
  <c r="P830" i="1"/>
  <c r="Q830" i="1" s="1"/>
  <c r="O830" i="1"/>
  <c r="M830" i="1"/>
  <c r="K830" i="1"/>
  <c r="I830" i="1"/>
  <c r="S830" i="1" s="1"/>
  <c r="S829" i="1"/>
  <c r="T829" i="1" s="1"/>
  <c r="Q829" i="1"/>
  <c r="P829" i="1"/>
  <c r="O829" i="1"/>
  <c r="M829" i="1"/>
  <c r="K829" i="1"/>
  <c r="I829" i="1"/>
  <c r="P828" i="1"/>
  <c r="Q828" i="1" s="1"/>
  <c r="O828" i="1"/>
  <c r="M828" i="1"/>
  <c r="K828" i="1"/>
  <c r="I828" i="1"/>
  <c r="P827" i="1"/>
  <c r="Q827" i="1" s="1"/>
  <c r="T827" i="1" s="1"/>
  <c r="O827" i="1"/>
  <c r="M827" i="1"/>
  <c r="K827" i="1"/>
  <c r="I827" i="1"/>
  <c r="S827" i="1" s="1"/>
  <c r="Q826" i="1"/>
  <c r="T826" i="1" s="1"/>
  <c r="P826" i="1"/>
  <c r="O826" i="1"/>
  <c r="M826" i="1"/>
  <c r="K826" i="1"/>
  <c r="I826" i="1"/>
  <c r="S826" i="1" s="1"/>
  <c r="P825" i="1"/>
  <c r="Q825" i="1" s="1"/>
  <c r="O825" i="1"/>
  <c r="M825" i="1"/>
  <c r="K825" i="1"/>
  <c r="I825" i="1"/>
  <c r="P824" i="1"/>
  <c r="Q824" i="1" s="1"/>
  <c r="O824" i="1"/>
  <c r="M824" i="1"/>
  <c r="K824" i="1"/>
  <c r="I824" i="1"/>
  <c r="S824" i="1" s="1"/>
  <c r="S823" i="1"/>
  <c r="T823" i="1" s="1"/>
  <c r="Q823" i="1"/>
  <c r="P823" i="1"/>
  <c r="O823" i="1"/>
  <c r="M823" i="1"/>
  <c r="K823" i="1"/>
  <c r="I823" i="1"/>
  <c r="P822" i="1"/>
  <c r="Q822" i="1" s="1"/>
  <c r="O822" i="1"/>
  <c r="M822" i="1"/>
  <c r="K822" i="1"/>
  <c r="I822" i="1"/>
  <c r="P821" i="1"/>
  <c r="Q821" i="1" s="1"/>
  <c r="T821" i="1" s="1"/>
  <c r="O821" i="1"/>
  <c r="M821" i="1"/>
  <c r="K821" i="1"/>
  <c r="I821" i="1"/>
  <c r="S821" i="1" s="1"/>
  <c r="Q820" i="1"/>
  <c r="T820" i="1" s="1"/>
  <c r="P820" i="1"/>
  <c r="O820" i="1"/>
  <c r="M820" i="1"/>
  <c r="K820" i="1"/>
  <c r="I820" i="1"/>
  <c r="S820" i="1" s="1"/>
  <c r="P819" i="1"/>
  <c r="Q819" i="1" s="1"/>
  <c r="O819" i="1"/>
  <c r="M819" i="1"/>
  <c r="K819" i="1"/>
  <c r="K816" i="1" s="1"/>
  <c r="I819" i="1"/>
  <c r="P818" i="1"/>
  <c r="Q818" i="1" s="1"/>
  <c r="O818" i="1"/>
  <c r="M818" i="1"/>
  <c r="K818" i="1"/>
  <c r="I818" i="1"/>
  <c r="S817" i="1"/>
  <c r="T817" i="1" s="1"/>
  <c r="Q815" i="1"/>
  <c r="P815" i="1"/>
  <c r="M815" i="1"/>
  <c r="K815" i="1"/>
  <c r="I815" i="1"/>
  <c r="S814" i="1"/>
  <c r="P814" i="1"/>
  <c r="Q814" i="1" s="1"/>
  <c r="T814" i="1" s="1"/>
  <c r="O814" i="1"/>
  <c r="M814" i="1"/>
  <c r="K814" i="1"/>
  <c r="I814" i="1"/>
  <c r="Q813" i="1"/>
  <c r="T813" i="1" s="1"/>
  <c r="P813" i="1"/>
  <c r="M813" i="1"/>
  <c r="K813" i="1"/>
  <c r="I813" i="1"/>
  <c r="S813" i="1" s="1"/>
  <c r="P812" i="1"/>
  <c r="Q812" i="1" s="1"/>
  <c r="M812" i="1"/>
  <c r="K812" i="1"/>
  <c r="S812" i="1" s="1"/>
  <c r="T812" i="1" s="1"/>
  <c r="I812" i="1"/>
  <c r="Q811" i="1"/>
  <c r="P811" i="1"/>
  <c r="M811" i="1"/>
  <c r="K811" i="1"/>
  <c r="I811" i="1"/>
  <c r="Q810" i="1"/>
  <c r="P810" i="1"/>
  <c r="M810" i="1"/>
  <c r="K810" i="1"/>
  <c r="I810" i="1"/>
  <c r="Q809" i="1"/>
  <c r="P809" i="1"/>
  <c r="M809" i="1"/>
  <c r="S809" i="1" s="1"/>
  <c r="K809" i="1"/>
  <c r="I809" i="1"/>
  <c r="P808" i="1"/>
  <c r="Q808" i="1" s="1"/>
  <c r="M808" i="1"/>
  <c r="K808" i="1"/>
  <c r="I808" i="1"/>
  <c r="S808" i="1" s="1"/>
  <c r="Q807" i="1"/>
  <c r="P807" i="1"/>
  <c r="M807" i="1"/>
  <c r="K807" i="1"/>
  <c r="S807" i="1" s="1"/>
  <c r="I807" i="1"/>
  <c r="S806" i="1"/>
  <c r="P806" i="1"/>
  <c r="Q806" i="1" s="1"/>
  <c r="T806" i="1" s="1"/>
  <c r="M806" i="1"/>
  <c r="K806" i="1"/>
  <c r="I806" i="1"/>
  <c r="P805" i="1"/>
  <c r="Q805" i="1" s="1"/>
  <c r="O805" i="1"/>
  <c r="M805" i="1"/>
  <c r="K805" i="1"/>
  <c r="I805" i="1"/>
  <c r="P804" i="1"/>
  <c r="Q804" i="1" s="1"/>
  <c r="T804" i="1" s="1"/>
  <c r="O804" i="1"/>
  <c r="M804" i="1"/>
  <c r="K804" i="1"/>
  <c r="I804" i="1"/>
  <c r="S804" i="1" s="1"/>
  <c r="P803" i="1"/>
  <c r="Q803" i="1" s="1"/>
  <c r="O803" i="1"/>
  <c r="M803" i="1"/>
  <c r="K803" i="1"/>
  <c r="I803" i="1"/>
  <c r="S803" i="1" s="1"/>
  <c r="T803" i="1" s="1"/>
  <c r="P802" i="1"/>
  <c r="Q802" i="1" s="1"/>
  <c r="M802" i="1"/>
  <c r="K802" i="1"/>
  <c r="I802" i="1"/>
  <c r="S802" i="1" s="1"/>
  <c r="T802" i="1" s="1"/>
  <c r="P801" i="1"/>
  <c r="Q801" i="1" s="1"/>
  <c r="T801" i="1" s="1"/>
  <c r="O801" i="1"/>
  <c r="M801" i="1"/>
  <c r="S801" i="1" s="1"/>
  <c r="K801" i="1"/>
  <c r="I801" i="1"/>
  <c r="S800" i="1"/>
  <c r="P800" i="1"/>
  <c r="Q800" i="1" s="1"/>
  <c r="T800" i="1" s="1"/>
  <c r="O800" i="1"/>
  <c r="M800" i="1"/>
  <c r="K800" i="1"/>
  <c r="I800" i="1"/>
  <c r="P799" i="1"/>
  <c r="Q799" i="1" s="1"/>
  <c r="O799" i="1"/>
  <c r="M799" i="1"/>
  <c r="K799" i="1"/>
  <c r="I799" i="1"/>
  <c r="P798" i="1"/>
  <c r="Q798" i="1" s="1"/>
  <c r="M798" i="1"/>
  <c r="S798" i="1" s="1"/>
  <c r="T798" i="1" s="1"/>
  <c r="K798" i="1"/>
  <c r="I798" i="1"/>
  <c r="Q797" i="1"/>
  <c r="P797" i="1"/>
  <c r="O797" i="1"/>
  <c r="M797" i="1"/>
  <c r="K797" i="1"/>
  <c r="I797" i="1"/>
  <c r="Q796" i="1"/>
  <c r="P796" i="1"/>
  <c r="O796" i="1"/>
  <c r="M796" i="1"/>
  <c r="K796" i="1"/>
  <c r="I796" i="1"/>
  <c r="S796" i="1" s="1"/>
  <c r="Q795" i="1"/>
  <c r="T795" i="1" s="1"/>
  <c r="P795" i="1"/>
  <c r="M795" i="1"/>
  <c r="K795" i="1"/>
  <c r="I795" i="1"/>
  <c r="S795" i="1" s="1"/>
  <c r="P794" i="1"/>
  <c r="Q794" i="1" s="1"/>
  <c r="O794" i="1"/>
  <c r="M794" i="1"/>
  <c r="K794" i="1"/>
  <c r="I794" i="1"/>
  <c r="S794" i="1" s="1"/>
  <c r="S793" i="1"/>
  <c r="T793" i="1" s="1"/>
  <c r="Q793" i="1"/>
  <c r="P793" i="1"/>
  <c r="O793" i="1"/>
  <c r="M793" i="1"/>
  <c r="K793" i="1"/>
  <c r="I793" i="1"/>
  <c r="P792" i="1"/>
  <c r="Q792" i="1" s="1"/>
  <c r="O792" i="1"/>
  <c r="M792" i="1"/>
  <c r="S792" i="1" s="1"/>
  <c r="K792" i="1"/>
  <c r="I792" i="1"/>
  <c r="P791" i="1"/>
  <c r="Q791" i="1" s="1"/>
  <c r="O791" i="1"/>
  <c r="M791" i="1"/>
  <c r="K791" i="1"/>
  <c r="I791" i="1"/>
  <c r="S790" i="1"/>
  <c r="P790" i="1"/>
  <c r="Q790" i="1" s="1"/>
  <c r="T790" i="1" s="1"/>
  <c r="O790" i="1"/>
  <c r="M790" i="1"/>
  <c r="K790" i="1"/>
  <c r="I790" i="1"/>
  <c r="Q789" i="1"/>
  <c r="P789" i="1"/>
  <c r="O789" i="1"/>
  <c r="M789" i="1"/>
  <c r="K789" i="1"/>
  <c r="I789" i="1"/>
  <c r="S789" i="1" s="1"/>
  <c r="Q788" i="1"/>
  <c r="P788" i="1"/>
  <c r="O788" i="1"/>
  <c r="M788" i="1"/>
  <c r="K788" i="1"/>
  <c r="I788" i="1"/>
  <c r="S787" i="1"/>
  <c r="P787" i="1"/>
  <c r="Q787" i="1" s="1"/>
  <c r="T787" i="1" s="1"/>
  <c r="O787" i="1"/>
  <c r="M787" i="1"/>
  <c r="K787" i="1"/>
  <c r="I787" i="1"/>
  <c r="P786" i="1"/>
  <c r="Q786" i="1" s="1"/>
  <c r="O786" i="1"/>
  <c r="M786" i="1"/>
  <c r="K786" i="1"/>
  <c r="I786" i="1"/>
  <c r="S786" i="1" s="1"/>
  <c r="P785" i="1"/>
  <c r="Q785" i="1" s="1"/>
  <c r="T785" i="1" s="1"/>
  <c r="O785" i="1"/>
  <c r="M785" i="1"/>
  <c r="K785" i="1"/>
  <c r="I785" i="1"/>
  <c r="S785" i="1" s="1"/>
  <c r="Q784" i="1"/>
  <c r="T784" i="1" s="1"/>
  <c r="P784" i="1"/>
  <c r="O784" i="1"/>
  <c r="M784" i="1"/>
  <c r="K784" i="1"/>
  <c r="I784" i="1"/>
  <c r="S784" i="1" s="1"/>
  <c r="P783" i="1"/>
  <c r="Q783" i="1" s="1"/>
  <c r="O783" i="1"/>
  <c r="M783" i="1"/>
  <c r="K783" i="1"/>
  <c r="I783" i="1"/>
  <c r="S783" i="1" s="1"/>
  <c r="P782" i="1"/>
  <c r="Q782" i="1" s="1"/>
  <c r="O782" i="1"/>
  <c r="M782" i="1"/>
  <c r="K782" i="1"/>
  <c r="I782" i="1"/>
  <c r="P781" i="1"/>
  <c r="Q781" i="1" s="1"/>
  <c r="O781" i="1"/>
  <c r="M781" i="1"/>
  <c r="K781" i="1"/>
  <c r="I781" i="1"/>
  <c r="S781" i="1" s="1"/>
  <c r="S780" i="1"/>
  <c r="T780" i="1" s="1"/>
  <c r="Q780" i="1"/>
  <c r="P780" i="1"/>
  <c r="O780" i="1"/>
  <c r="M780" i="1"/>
  <c r="K780" i="1"/>
  <c r="I780" i="1"/>
  <c r="Q779" i="1"/>
  <c r="P779" i="1"/>
  <c r="O779" i="1"/>
  <c r="M779" i="1"/>
  <c r="K779" i="1"/>
  <c r="I779" i="1"/>
  <c r="S779" i="1" s="1"/>
  <c r="P778" i="1"/>
  <c r="Q778" i="1" s="1"/>
  <c r="T778" i="1" s="1"/>
  <c r="O778" i="1"/>
  <c r="M778" i="1"/>
  <c r="K778" i="1"/>
  <c r="I778" i="1"/>
  <c r="S778" i="1" s="1"/>
  <c r="P777" i="1"/>
  <c r="Q777" i="1" s="1"/>
  <c r="O777" i="1"/>
  <c r="M777" i="1"/>
  <c r="K777" i="1"/>
  <c r="I777" i="1"/>
  <c r="S777" i="1" s="1"/>
  <c r="P776" i="1"/>
  <c r="Q776" i="1" s="1"/>
  <c r="O776" i="1"/>
  <c r="M776" i="1"/>
  <c r="K776" i="1"/>
  <c r="I776" i="1"/>
  <c r="S776" i="1" s="1"/>
  <c r="S775" i="1"/>
  <c r="T775" i="1" s="1"/>
  <c r="Q775" i="1"/>
  <c r="P775" i="1"/>
  <c r="O775" i="1"/>
  <c r="M775" i="1"/>
  <c r="K775" i="1"/>
  <c r="I775" i="1"/>
  <c r="P774" i="1"/>
  <c r="Q774" i="1" s="1"/>
  <c r="O774" i="1"/>
  <c r="M774" i="1"/>
  <c r="S774" i="1" s="1"/>
  <c r="K774" i="1"/>
  <c r="I774" i="1"/>
  <c r="P773" i="1"/>
  <c r="Q773" i="1" s="1"/>
  <c r="O773" i="1"/>
  <c r="M773" i="1"/>
  <c r="K773" i="1"/>
  <c r="I773" i="1"/>
  <c r="P772" i="1"/>
  <c r="Q772" i="1" s="1"/>
  <c r="O772" i="1"/>
  <c r="M772" i="1"/>
  <c r="K772" i="1"/>
  <c r="I772" i="1"/>
  <c r="S772" i="1" s="1"/>
  <c r="Q771" i="1"/>
  <c r="T771" i="1" s="1"/>
  <c r="P771" i="1"/>
  <c r="M771" i="1"/>
  <c r="K771" i="1"/>
  <c r="I771" i="1"/>
  <c r="S771" i="1" s="1"/>
  <c r="P770" i="1"/>
  <c r="Q770" i="1" s="1"/>
  <c r="O770" i="1"/>
  <c r="M770" i="1"/>
  <c r="K770" i="1"/>
  <c r="I770" i="1"/>
  <c r="Q769" i="1"/>
  <c r="T769" i="1" s="1"/>
  <c r="P769" i="1"/>
  <c r="O769" i="1"/>
  <c r="S769" i="1" s="1"/>
  <c r="M769" i="1"/>
  <c r="K769" i="1"/>
  <c r="I769" i="1"/>
  <c r="Q768" i="1"/>
  <c r="P768" i="1"/>
  <c r="O768" i="1"/>
  <c r="M768" i="1"/>
  <c r="K768" i="1"/>
  <c r="I768" i="1"/>
  <c r="S768" i="1" s="1"/>
  <c r="P767" i="1"/>
  <c r="Q767" i="1" s="1"/>
  <c r="M767" i="1"/>
  <c r="K767" i="1"/>
  <c r="I767" i="1"/>
  <c r="S766" i="1"/>
  <c r="P766" i="1"/>
  <c r="Q766" i="1" s="1"/>
  <c r="M766" i="1"/>
  <c r="K766" i="1"/>
  <c r="I766" i="1"/>
  <c r="S765" i="1"/>
  <c r="P765" i="1"/>
  <c r="Q765" i="1" s="1"/>
  <c r="T765" i="1" s="1"/>
  <c r="M765" i="1"/>
  <c r="K765" i="1"/>
  <c r="I765" i="1"/>
  <c r="P764" i="1"/>
  <c r="Q764" i="1" s="1"/>
  <c r="M764" i="1"/>
  <c r="K764" i="1"/>
  <c r="I764" i="1"/>
  <c r="S764" i="1" s="1"/>
  <c r="T764" i="1" s="1"/>
  <c r="Q763" i="1"/>
  <c r="P763" i="1"/>
  <c r="M763" i="1"/>
  <c r="K763" i="1"/>
  <c r="S763" i="1" s="1"/>
  <c r="T763" i="1" s="1"/>
  <c r="I763" i="1"/>
  <c r="P762" i="1"/>
  <c r="Q762" i="1" s="1"/>
  <c r="M762" i="1"/>
  <c r="K762" i="1"/>
  <c r="I762" i="1"/>
  <c r="S762" i="1" s="1"/>
  <c r="P761" i="1"/>
  <c r="Q761" i="1" s="1"/>
  <c r="T761" i="1" s="1"/>
  <c r="O761" i="1"/>
  <c r="M761" i="1"/>
  <c r="K761" i="1"/>
  <c r="S761" i="1" s="1"/>
  <c r="I761" i="1"/>
  <c r="P760" i="1"/>
  <c r="Q760" i="1" s="1"/>
  <c r="T760" i="1" s="1"/>
  <c r="M760" i="1"/>
  <c r="K760" i="1"/>
  <c r="S760" i="1" s="1"/>
  <c r="I760" i="1"/>
  <c r="Q759" i="1"/>
  <c r="P759" i="1"/>
  <c r="M759" i="1"/>
  <c r="K759" i="1"/>
  <c r="I759" i="1"/>
  <c r="S759" i="1" s="1"/>
  <c r="S758" i="1"/>
  <c r="P758" i="1"/>
  <c r="Q758" i="1" s="1"/>
  <c r="M758" i="1"/>
  <c r="K758" i="1"/>
  <c r="I758" i="1"/>
  <c r="P757" i="1"/>
  <c r="Q757" i="1" s="1"/>
  <c r="O757" i="1"/>
  <c r="M757" i="1"/>
  <c r="K757" i="1"/>
  <c r="I757" i="1"/>
  <c r="S757" i="1" s="1"/>
  <c r="T757" i="1" s="1"/>
  <c r="Q756" i="1"/>
  <c r="P756" i="1"/>
  <c r="M756" i="1"/>
  <c r="K756" i="1"/>
  <c r="S756" i="1" s="1"/>
  <c r="T756" i="1" s="1"/>
  <c r="I756" i="1"/>
  <c r="Q755" i="1"/>
  <c r="P755" i="1"/>
  <c r="O755" i="1"/>
  <c r="M755" i="1"/>
  <c r="K755" i="1"/>
  <c r="I755" i="1"/>
  <c r="S755" i="1" s="1"/>
  <c r="Q754" i="1"/>
  <c r="P754" i="1"/>
  <c r="O754" i="1"/>
  <c r="M754" i="1"/>
  <c r="K754" i="1"/>
  <c r="I754" i="1"/>
  <c r="S754" i="1" s="1"/>
  <c r="T754" i="1" s="1"/>
  <c r="S753" i="1"/>
  <c r="P753" i="1"/>
  <c r="Q753" i="1" s="1"/>
  <c r="T753" i="1" s="1"/>
  <c r="O753" i="1"/>
  <c r="M753" i="1"/>
  <c r="K753" i="1"/>
  <c r="I753" i="1"/>
  <c r="P752" i="1"/>
  <c r="Q752" i="1" s="1"/>
  <c r="O752" i="1"/>
  <c r="M752" i="1"/>
  <c r="K752" i="1"/>
  <c r="I752" i="1"/>
  <c r="T751" i="1"/>
  <c r="Q751" i="1"/>
  <c r="P751" i="1"/>
  <c r="O751" i="1"/>
  <c r="M751" i="1"/>
  <c r="K751" i="1"/>
  <c r="I751" i="1"/>
  <c r="S751" i="1" s="1"/>
  <c r="Q750" i="1"/>
  <c r="P750" i="1"/>
  <c r="O750" i="1"/>
  <c r="S750" i="1" s="1"/>
  <c r="M750" i="1"/>
  <c r="K750" i="1"/>
  <c r="I750" i="1"/>
  <c r="P749" i="1"/>
  <c r="Q749" i="1" s="1"/>
  <c r="O749" i="1"/>
  <c r="M749" i="1"/>
  <c r="K749" i="1"/>
  <c r="I749" i="1"/>
  <c r="S749" i="1" s="1"/>
  <c r="Q748" i="1"/>
  <c r="P748" i="1"/>
  <c r="O748" i="1"/>
  <c r="M748" i="1"/>
  <c r="S748" i="1" s="1"/>
  <c r="T748" i="1" s="1"/>
  <c r="K748" i="1"/>
  <c r="I748" i="1"/>
  <c r="P747" i="1"/>
  <c r="Q747" i="1" s="1"/>
  <c r="O747" i="1"/>
  <c r="M747" i="1"/>
  <c r="S747" i="1" s="1"/>
  <c r="K747" i="1"/>
  <c r="I747" i="1"/>
  <c r="Q746" i="1"/>
  <c r="P746" i="1"/>
  <c r="O746" i="1"/>
  <c r="M746" i="1"/>
  <c r="K746" i="1"/>
  <c r="I746" i="1"/>
  <c r="S746" i="1" s="1"/>
  <c r="Q745" i="1"/>
  <c r="T745" i="1" s="1"/>
  <c r="P745" i="1"/>
  <c r="O745" i="1"/>
  <c r="M745" i="1"/>
  <c r="K745" i="1"/>
  <c r="S745" i="1" s="1"/>
  <c r="I745" i="1"/>
  <c r="Q744" i="1"/>
  <c r="P744" i="1"/>
  <c r="O744" i="1"/>
  <c r="M744" i="1"/>
  <c r="K744" i="1"/>
  <c r="S744" i="1" s="1"/>
  <c r="I744" i="1"/>
  <c r="P743" i="1"/>
  <c r="Q743" i="1" s="1"/>
  <c r="O743" i="1"/>
  <c r="M743" i="1"/>
  <c r="K743" i="1"/>
  <c r="I743" i="1"/>
  <c r="S743" i="1" s="1"/>
  <c r="S742" i="1"/>
  <c r="Q742" i="1"/>
  <c r="T742" i="1" s="1"/>
  <c r="P742" i="1"/>
  <c r="M742" i="1"/>
  <c r="K742" i="1"/>
  <c r="I742" i="1"/>
  <c r="P741" i="1"/>
  <c r="Q741" i="1" s="1"/>
  <c r="T741" i="1" s="1"/>
  <c r="M741" i="1"/>
  <c r="K741" i="1"/>
  <c r="I741" i="1"/>
  <c r="S741" i="1" s="1"/>
  <c r="P740" i="1"/>
  <c r="Q740" i="1" s="1"/>
  <c r="M740" i="1"/>
  <c r="K740" i="1"/>
  <c r="I740" i="1"/>
  <c r="T739" i="1"/>
  <c r="P739" i="1"/>
  <c r="Q739" i="1" s="1"/>
  <c r="O739" i="1"/>
  <c r="M739" i="1"/>
  <c r="S739" i="1" s="1"/>
  <c r="K739" i="1"/>
  <c r="I739" i="1"/>
  <c r="P738" i="1"/>
  <c r="Q738" i="1" s="1"/>
  <c r="M738" i="1"/>
  <c r="K738" i="1"/>
  <c r="I738" i="1"/>
  <c r="S738" i="1" s="1"/>
  <c r="T738" i="1" s="1"/>
  <c r="Q737" i="1"/>
  <c r="P737" i="1"/>
  <c r="M737" i="1"/>
  <c r="K737" i="1"/>
  <c r="S737" i="1" s="1"/>
  <c r="T737" i="1" s="1"/>
  <c r="I737" i="1"/>
  <c r="Q736" i="1"/>
  <c r="P736" i="1"/>
  <c r="M736" i="1"/>
  <c r="K736" i="1"/>
  <c r="I736" i="1"/>
  <c r="S736" i="1" s="1"/>
  <c r="P735" i="1"/>
  <c r="Q735" i="1" s="1"/>
  <c r="O735" i="1"/>
  <c r="M735" i="1"/>
  <c r="K735" i="1"/>
  <c r="I735" i="1"/>
  <c r="S734" i="1"/>
  <c r="P734" i="1"/>
  <c r="Q734" i="1" s="1"/>
  <c r="O734" i="1"/>
  <c r="M734" i="1"/>
  <c r="K734" i="1"/>
  <c r="I734" i="1"/>
  <c r="Q733" i="1"/>
  <c r="P733" i="1"/>
  <c r="O733" i="1"/>
  <c r="M733" i="1"/>
  <c r="S733" i="1" s="1"/>
  <c r="T733" i="1" s="1"/>
  <c r="K733" i="1"/>
  <c r="I733" i="1"/>
  <c r="P732" i="1"/>
  <c r="Q732" i="1" s="1"/>
  <c r="O732" i="1"/>
  <c r="M732" i="1"/>
  <c r="K732" i="1"/>
  <c r="I732" i="1"/>
  <c r="S732" i="1" s="1"/>
  <c r="T732" i="1" s="1"/>
  <c r="P731" i="1"/>
  <c r="Q731" i="1" s="1"/>
  <c r="O731" i="1"/>
  <c r="M731" i="1"/>
  <c r="K731" i="1"/>
  <c r="I731" i="1"/>
  <c r="S731" i="1" s="1"/>
  <c r="S730" i="1"/>
  <c r="P730" i="1"/>
  <c r="Q730" i="1" s="1"/>
  <c r="T730" i="1" s="1"/>
  <c r="O730" i="1"/>
  <c r="M730" i="1"/>
  <c r="K730" i="1"/>
  <c r="I730" i="1"/>
  <c r="P729" i="1"/>
  <c r="Q729" i="1" s="1"/>
  <c r="O729" i="1"/>
  <c r="M729" i="1"/>
  <c r="K729" i="1"/>
  <c r="I729" i="1"/>
  <c r="S729" i="1" s="1"/>
  <c r="S728" i="1"/>
  <c r="T728" i="1" s="1"/>
  <c r="Q728" i="1"/>
  <c r="P728" i="1"/>
  <c r="M728" i="1"/>
  <c r="K728" i="1"/>
  <c r="I728" i="1"/>
  <c r="P727" i="1"/>
  <c r="Q727" i="1" s="1"/>
  <c r="T727" i="1" s="1"/>
  <c r="O727" i="1"/>
  <c r="M727" i="1"/>
  <c r="K727" i="1"/>
  <c r="S727" i="1" s="1"/>
  <c r="I727" i="1"/>
  <c r="Q726" i="1"/>
  <c r="P726" i="1"/>
  <c r="O726" i="1"/>
  <c r="M726" i="1"/>
  <c r="K726" i="1"/>
  <c r="I726" i="1"/>
  <c r="S726" i="1" s="1"/>
  <c r="T726" i="1" s="1"/>
  <c r="S725" i="1"/>
  <c r="Q725" i="1"/>
  <c r="T725" i="1" s="1"/>
  <c r="P725" i="1"/>
  <c r="M725" i="1"/>
  <c r="K725" i="1"/>
  <c r="I725" i="1"/>
  <c r="P724" i="1"/>
  <c r="Q724" i="1" s="1"/>
  <c r="T724" i="1" s="1"/>
  <c r="M724" i="1"/>
  <c r="K724" i="1"/>
  <c r="I724" i="1"/>
  <c r="S724" i="1" s="1"/>
  <c r="S723" i="1"/>
  <c r="T723" i="1" s="1"/>
  <c r="Q723" i="1"/>
  <c r="P723" i="1"/>
  <c r="M723" i="1"/>
  <c r="K723" i="1"/>
  <c r="I723" i="1"/>
  <c r="P722" i="1"/>
  <c r="Q722" i="1" s="1"/>
  <c r="T722" i="1" s="1"/>
  <c r="O722" i="1"/>
  <c r="M722" i="1"/>
  <c r="K722" i="1"/>
  <c r="S722" i="1" s="1"/>
  <c r="I722" i="1"/>
  <c r="P721" i="1"/>
  <c r="Q721" i="1" s="1"/>
  <c r="M721" i="1"/>
  <c r="K721" i="1"/>
  <c r="I721" i="1"/>
  <c r="P720" i="1"/>
  <c r="Q720" i="1" s="1"/>
  <c r="O720" i="1"/>
  <c r="M720" i="1"/>
  <c r="S720" i="1" s="1"/>
  <c r="K720" i="1"/>
  <c r="I720" i="1"/>
  <c r="S719" i="1"/>
  <c r="P719" i="1"/>
  <c r="Q719" i="1" s="1"/>
  <c r="M719" i="1"/>
  <c r="K719" i="1"/>
  <c r="I719" i="1"/>
  <c r="Q718" i="1"/>
  <c r="T718" i="1" s="1"/>
  <c r="P718" i="1"/>
  <c r="M718" i="1"/>
  <c r="K718" i="1"/>
  <c r="I718" i="1"/>
  <c r="S718" i="1" s="1"/>
  <c r="Q717" i="1"/>
  <c r="P717" i="1"/>
  <c r="M717" i="1"/>
  <c r="K717" i="1"/>
  <c r="I717" i="1"/>
  <c r="P716" i="1"/>
  <c r="Q716" i="1" s="1"/>
  <c r="O716" i="1"/>
  <c r="M716" i="1"/>
  <c r="K716" i="1"/>
  <c r="I716" i="1"/>
  <c r="P715" i="1"/>
  <c r="Q715" i="1" s="1"/>
  <c r="O715" i="1"/>
  <c r="S715" i="1" s="1"/>
  <c r="M715" i="1"/>
  <c r="K715" i="1"/>
  <c r="I715" i="1"/>
  <c r="Q714" i="1"/>
  <c r="P714" i="1"/>
  <c r="O714" i="1"/>
  <c r="M714" i="1"/>
  <c r="K714" i="1"/>
  <c r="I714" i="1"/>
  <c r="S714" i="1" s="1"/>
  <c r="P713" i="1"/>
  <c r="Q713" i="1" s="1"/>
  <c r="O713" i="1"/>
  <c r="M713" i="1"/>
  <c r="K713" i="1"/>
  <c r="I713" i="1"/>
  <c r="P712" i="1"/>
  <c r="Q712" i="1" s="1"/>
  <c r="O712" i="1"/>
  <c r="M712" i="1"/>
  <c r="K712" i="1"/>
  <c r="I712" i="1"/>
  <c r="S712" i="1" s="1"/>
  <c r="T712" i="1" s="1"/>
  <c r="P711" i="1"/>
  <c r="Q711" i="1" s="1"/>
  <c r="O711" i="1"/>
  <c r="M711" i="1"/>
  <c r="K711" i="1"/>
  <c r="I711" i="1"/>
  <c r="P710" i="1"/>
  <c r="Q710" i="1" s="1"/>
  <c r="O710" i="1"/>
  <c r="M710" i="1"/>
  <c r="K710" i="1"/>
  <c r="I710" i="1"/>
  <c r="Q709" i="1"/>
  <c r="P709" i="1"/>
  <c r="O709" i="1"/>
  <c r="M709" i="1"/>
  <c r="K709" i="1"/>
  <c r="I709" i="1"/>
  <c r="S709" i="1" s="1"/>
  <c r="S708" i="1"/>
  <c r="Q708" i="1"/>
  <c r="T708" i="1" s="1"/>
  <c r="P708" i="1"/>
  <c r="M708" i="1"/>
  <c r="K708" i="1"/>
  <c r="I708" i="1"/>
  <c r="P707" i="1"/>
  <c r="Q707" i="1" s="1"/>
  <c r="M707" i="1"/>
  <c r="K707" i="1"/>
  <c r="I707" i="1"/>
  <c r="Q706" i="1"/>
  <c r="P706" i="1"/>
  <c r="M706" i="1"/>
  <c r="K706" i="1"/>
  <c r="S706" i="1" s="1"/>
  <c r="T706" i="1" s="1"/>
  <c r="I706" i="1"/>
  <c r="P705" i="1"/>
  <c r="Q705" i="1" s="1"/>
  <c r="M705" i="1"/>
  <c r="K705" i="1"/>
  <c r="I705" i="1"/>
  <c r="S705" i="1" s="1"/>
  <c r="S704" i="1"/>
  <c r="T704" i="1" s="1"/>
  <c r="Q704" i="1"/>
  <c r="P704" i="1"/>
  <c r="O704" i="1"/>
  <c r="M704" i="1"/>
  <c r="K704" i="1"/>
  <c r="I704" i="1"/>
  <c r="Q703" i="1"/>
  <c r="P703" i="1"/>
  <c r="O703" i="1"/>
  <c r="M703" i="1"/>
  <c r="K703" i="1"/>
  <c r="I703" i="1"/>
  <c r="Q702" i="1"/>
  <c r="P702" i="1"/>
  <c r="O702" i="1"/>
  <c r="M702" i="1"/>
  <c r="K702" i="1"/>
  <c r="I702" i="1"/>
  <c r="S701" i="1"/>
  <c r="Q701" i="1"/>
  <c r="T701" i="1" s="1"/>
  <c r="P701" i="1"/>
  <c r="O701" i="1"/>
  <c r="M701" i="1"/>
  <c r="K701" i="1"/>
  <c r="I701" i="1"/>
  <c r="P700" i="1"/>
  <c r="Q700" i="1" s="1"/>
  <c r="T700" i="1" s="1"/>
  <c r="O700" i="1"/>
  <c r="M700" i="1"/>
  <c r="K700" i="1"/>
  <c r="S700" i="1" s="1"/>
  <c r="I700" i="1"/>
  <c r="Q699" i="1"/>
  <c r="P699" i="1"/>
  <c r="O699" i="1"/>
  <c r="M699" i="1"/>
  <c r="K699" i="1"/>
  <c r="I699" i="1"/>
  <c r="Q698" i="1"/>
  <c r="T698" i="1" s="1"/>
  <c r="P698" i="1"/>
  <c r="O698" i="1"/>
  <c r="M698" i="1"/>
  <c r="K698" i="1"/>
  <c r="S698" i="1" s="1"/>
  <c r="I698" i="1"/>
  <c r="P697" i="1"/>
  <c r="Q697" i="1" s="1"/>
  <c r="O697" i="1"/>
  <c r="M697" i="1"/>
  <c r="S697" i="1" s="1"/>
  <c r="K697" i="1"/>
  <c r="I697" i="1"/>
  <c r="Q696" i="1"/>
  <c r="P696" i="1"/>
  <c r="O696" i="1"/>
  <c r="M696" i="1"/>
  <c r="K696" i="1"/>
  <c r="I696" i="1"/>
  <c r="Q695" i="1"/>
  <c r="T695" i="1" s="1"/>
  <c r="P695" i="1"/>
  <c r="O695" i="1"/>
  <c r="M695" i="1"/>
  <c r="K695" i="1"/>
  <c r="S695" i="1" s="1"/>
  <c r="I695" i="1"/>
  <c r="S694" i="1"/>
  <c r="P694" i="1"/>
  <c r="Q694" i="1" s="1"/>
  <c r="T694" i="1" s="1"/>
  <c r="O694" i="1"/>
  <c r="M694" i="1"/>
  <c r="K694" i="1"/>
  <c r="I694" i="1"/>
  <c r="Q693" i="1"/>
  <c r="P693" i="1"/>
  <c r="O693" i="1"/>
  <c r="M693" i="1"/>
  <c r="K693" i="1"/>
  <c r="S693" i="1" s="1"/>
  <c r="I693" i="1"/>
  <c r="Q692" i="1"/>
  <c r="P692" i="1"/>
  <c r="O692" i="1"/>
  <c r="M692" i="1"/>
  <c r="K692" i="1"/>
  <c r="S692" i="1" s="1"/>
  <c r="T692" i="1" s="1"/>
  <c r="I692" i="1"/>
  <c r="S691" i="1"/>
  <c r="Q691" i="1"/>
  <c r="T691" i="1" s="1"/>
  <c r="P691" i="1"/>
  <c r="O691" i="1"/>
  <c r="M691" i="1"/>
  <c r="K691" i="1"/>
  <c r="I691" i="1"/>
  <c r="Q690" i="1"/>
  <c r="P690" i="1"/>
  <c r="O690" i="1"/>
  <c r="M690" i="1"/>
  <c r="K690" i="1"/>
  <c r="I690" i="1"/>
  <c r="S690" i="1" s="1"/>
  <c r="S689" i="1"/>
  <c r="P689" i="1"/>
  <c r="Q689" i="1" s="1"/>
  <c r="T689" i="1" s="1"/>
  <c r="O689" i="1"/>
  <c r="M689" i="1"/>
  <c r="K689" i="1"/>
  <c r="I689" i="1"/>
  <c r="S688" i="1"/>
  <c r="P688" i="1"/>
  <c r="Q688" i="1" s="1"/>
  <c r="T688" i="1" s="1"/>
  <c r="O688" i="1"/>
  <c r="M688" i="1"/>
  <c r="K688" i="1"/>
  <c r="I688" i="1"/>
  <c r="Q687" i="1"/>
  <c r="P687" i="1"/>
  <c r="O687" i="1"/>
  <c r="M687" i="1"/>
  <c r="K687" i="1"/>
  <c r="I687" i="1"/>
  <c r="S687" i="1" s="1"/>
  <c r="Q686" i="1"/>
  <c r="P686" i="1"/>
  <c r="O686" i="1"/>
  <c r="M686" i="1"/>
  <c r="K686" i="1"/>
  <c r="S686" i="1" s="1"/>
  <c r="T686" i="1" s="1"/>
  <c r="I686" i="1"/>
  <c r="Q685" i="1"/>
  <c r="P685" i="1"/>
  <c r="O685" i="1"/>
  <c r="M685" i="1"/>
  <c r="K685" i="1"/>
  <c r="S685" i="1" s="1"/>
  <c r="I685" i="1"/>
  <c r="Q684" i="1"/>
  <c r="P684" i="1"/>
  <c r="O684" i="1"/>
  <c r="M684" i="1"/>
  <c r="K684" i="1"/>
  <c r="I684" i="1"/>
  <c r="S684" i="1" s="1"/>
  <c r="S683" i="1"/>
  <c r="P683" i="1"/>
  <c r="Q683" i="1" s="1"/>
  <c r="T683" i="1" s="1"/>
  <c r="O683" i="1"/>
  <c r="M683" i="1"/>
  <c r="K683" i="1"/>
  <c r="I683" i="1"/>
  <c r="P682" i="1"/>
  <c r="Q682" i="1" s="1"/>
  <c r="O682" i="1"/>
  <c r="M682" i="1"/>
  <c r="S682" i="1" s="1"/>
  <c r="K682" i="1"/>
  <c r="I682" i="1"/>
  <c r="Q681" i="1"/>
  <c r="P681" i="1"/>
  <c r="O681" i="1"/>
  <c r="M681" i="1"/>
  <c r="K681" i="1"/>
  <c r="I681" i="1"/>
  <c r="S681" i="1" s="1"/>
  <c r="S680" i="1"/>
  <c r="Q680" i="1"/>
  <c r="T680" i="1" s="1"/>
  <c r="P680" i="1"/>
  <c r="O680" i="1"/>
  <c r="M680" i="1"/>
  <c r="K680" i="1"/>
  <c r="I680" i="1"/>
  <c r="Q679" i="1"/>
  <c r="P679" i="1"/>
  <c r="O679" i="1"/>
  <c r="M679" i="1"/>
  <c r="K679" i="1"/>
  <c r="S679" i="1" s="1"/>
  <c r="I679" i="1"/>
  <c r="Q678" i="1"/>
  <c r="P678" i="1"/>
  <c r="O678" i="1"/>
  <c r="M678" i="1"/>
  <c r="K678" i="1"/>
  <c r="I678" i="1"/>
  <c r="S678" i="1" s="1"/>
  <c r="S677" i="1"/>
  <c r="P677" i="1"/>
  <c r="Q677" i="1" s="1"/>
  <c r="T677" i="1" s="1"/>
  <c r="O677" i="1"/>
  <c r="M677" i="1"/>
  <c r="K677" i="1"/>
  <c r="I677" i="1"/>
  <c r="P676" i="1"/>
  <c r="Q676" i="1" s="1"/>
  <c r="O676" i="1"/>
  <c r="M676" i="1"/>
  <c r="K676" i="1"/>
  <c r="I676" i="1"/>
  <c r="S676" i="1" s="1"/>
  <c r="Q675" i="1"/>
  <c r="P675" i="1"/>
  <c r="M675" i="1"/>
  <c r="K675" i="1"/>
  <c r="I675" i="1"/>
  <c r="S675" i="1" s="1"/>
  <c r="S674" i="1"/>
  <c r="P674" i="1"/>
  <c r="Q674" i="1" s="1"/>
  <c r="T674" i="1" s="1"/>
  <c r="O674" i="1"/>
  <c r="M674" i="1"/>
  <c r="K674" i="1"/>
  <c r="I674" i="1"/>
  <c r="Q673" i="1"/>
  <c r="P673" i="1"/>
  <c r="O673" i="1"/>
  <c r="M673" i="1"/>
  <c r="K673" i="1"/>
  <c r="I673" i="1"/>
  <c r="S673" i="1" s="1"/>
  <c r="P672" i="1"/>
  <c r="Q672" i="1" s="1"/>
  <c r="O672" i="1"/>
  <c r="M672" i="1"/>
  <c r="K672" i="1"/>
  <c r="I672" i="1"/>
  <c r="P671" i="1"/>
  <c r="Q671" i="1" s="1"/>
  <c r="T671" i="1" s="1"/>
  <c r="M671" i="1"/>
  <c r="K671" i="1"/>
  <c r="I671" i="1"/>
  <c r="S671" i="1" s="1"/>
  <c r="P670" i="1"/>
  <c r="Q670" i="1" s="1"/>
  <c r="O670" i="1"/>
  <c r="M670" i="1"/>
  <c r="K670" i="1"/>
  <c r="I670" i="1"/>
  <c r="P669" i="1"/>
  <c r="Q669" i="1" s="1"/>
  <c r="O669" i="1"/>
  <c r="M669" i="1"/>
  <c r="K669" i="1"/>
  <c r="S669" i="1" s="1"/>
  <c r="I669" i="1"/>
  <c r="Q668" i="1"/>
  <c r="P668" i="1"/>
  <c r="O668" i="1"/>
  <c r="M668" i="1"/>
  <c r="K668" i="1"/>
  <c r="I668" i="1"/>
  <c r="S668" i="1" s="1"/>
  <c r="T668" i="1" s="1"/>
  <c r="P667" i="1"/>
  <c r="Q667" i="1" s="1"/>
  <c r="O667" i="1"/>
  <c r="M667" i="1"/>
  <c r="K667" i="1"/>
  <c r="I667" i="1"/>
  <c r="P666" i="1"/>
  <c r="Q666" i="1" s="1"/>
  <c r="O666" i="1"/>
  <c r="M666" i="1"/>
  <c r="K666" i="1"/>
  <c r="I666" i="1"/>
  <c r="S666" i="1" s="1"/>
  <c r="Q665" i="1"/>
  <c r="P665" i="1"/>
  <c r="O665" i="1"/>
  <c r="M665" i="1"/>
  <c r="K665" i="1"/>
  <c r="I665" i="1"/>
  <c r="S665" i="1" s="1"/>
  <c r="T665" i="1" s="1"/>
  <c r="P664" i="1"/>
  <c r="Q664" i="1" s="1"/>
  <c r="O664" i="1"/>
  <c r="M664" i="1"/>
  <c r="K664" i="1"/>
  <c r="I664" i="1"/>
  <c r="P663" i="1"/>
  <c r="Q663" i="1" s="1"/>
  <c r="O663" i="1"/>
  <c r="M663" i="1"/>
  <c r="K663" i="1"/>
  <c r="S663" i="1" s="1"/>
  <c r="I663" i="1"/>
  <c r="Q662" i="1"/>
  <c r="T662" i="1" s="1"/>
  <c r="P662" i="1"/>
  <c r="O662" i="1"/>
  <c r="S662" i="1" s="1"/>
  <c r="M662" i="1"/>
  <c r="K662" i="1"/>
  <c r="I662" i="1"/>
  <c r="P661" i="1"/>
  <c r="Q661" i="1" s="1"/>
  <c r="O661" i="1"/>
  <c r="M661" i="1"/>
  <c r="K661" i="1"/>
  <c r="I661" i="1"/>
  <c r="S661" i="1" s="1"/>
  <c r="S660" i="1"/>
  <c r="P660" i="1"/>
  <c r="Q660" i="1" s="1"/>
  <c r="T660" i="1" s="1"/>
  <c r="M660" i="1"/>
  <c r="K660" i="1"/>
  <c r="I660" i="1"/>
  <c r="Q659" i="1"/>
  <c r="P659" i="1"/>
  <c r="M659" i="1"/>
  <c r="K659" i="1"/>
  <c r="I659" i="1"/>
  <c r="S659" i="1" s="1"/>
  <c r="Q658" i="1"/>
  <c r="T658" i="1" s="1"/>
  <c r="P658" i="1"/>
  <c r="M658" i="1"/>
  <c r="K658" i="1"/>
  <c r="S658" i="1" s="1"/>
  <c r="I658" i="1"/>
  <c r="Q657" i="1"/>
  <c r="P657" i="1"/>
  <c r="M657" i="1"/>
  <c r="K657" i="1"/>
  <c r="I657" i="1"/>
  <c r="S657" i="1" s="1"/>
  <c r="P656" i="1"/>
  <c r="Q656" i="1" s="1"/>
  <c r="T656" i="1" s="1"/>
  <c r="M656" i="1"/>
  <c r="K656" i="1"/>
  <c r="I656" i="1"/>
  <c r="S656" i="1" s="1"/>
  <c r="S655" i="1"/>
  <c r="P655" i="1"/>
  <c r="Q655" i="1" s="1"/>
  <c r="M655" i="1"/>
  <c r="K655" i="1"/>
  <c r="I655" i="1"/>
  <c r="Q654" i="1"/>
  <c r="P654" i="1"/>
  <c r="M654" i="1"/>
  <c r="K654" i="1"/>
  <c r="I654" i="1"/>
  <c r="S654" i="1" s="1"/>
  <c r="S653" i="1"/>
  <c r="P653" i="1"/>
  <c r="Q653" i="1" s="1"/>
  <c r="T653" i="1" s="1"/>
  <c r="M653" i="1"/>
  <c r="K653" i="1"/>
  <c r="I653" i="1"/>
  <c r="Q652" i="1"/>
  <c r="P652" i="1"/>
  <c r="M652" i="1"/>
  <c r="K652" i="1"/>
  <c r="I652" i="1"/>
  <c r="S652" i="1" s="1"/>
  <c r="P651" i="1"/>
  <c r="Q651" i="1" s="1"/>
  <c r="O651" i="1"/>
  <c r="M651" i="1"/>
  <c r="K651" i="1"/>
  <c r="S651" i="1" s="1"/>
  <c r="I651" i="1"/>
  <c r="Q650" i="1"/>
  <c r="T650" i="1" s="1"/>
  <c r="P650" i="1"/>
  <c r="O650" i="1"/>
  <c r="S650" i="1" s="1"/>
  <c r="M650" i="1"/>
  <c r="K650" i="1"/>
  <c r="I650" i="1"/>
  <c r="Q649" i="1"/>
  <c r="P649" i="1"/>
  <c r="O649" i="1"/>
  <c r="M649" i="1"/>
  <c r="K649" i="1"/>
  <c r="S649" i="1" s="1"/>
  <c r="I649" i="1"/>
  <c r="P648" i="1"/>
  <c r="Q648" i="1" s="1"/>
  <c r="O648" i="1"/>
  <c r="M648" i="1"/>
  <c r="K648" i="1"/>
  <c r="I648" i="1"/>
  <c r="S648" i="1" s="1"/>
  <c r="T648" i="1" s="1"/>
  <c r="S647" i="1"/>
  <c r="P647" i="1"/>
  <c r="Q647" i="1" s="1"/>
  <c r="T647" i="1" s="1"/>
  <c r="O647" i="1"/>
  <c r="M647" i="1"/>
  <c r="K647" i="1"/>
  <c r="I647" i="1"/>
  <c r="P646" i="1"/>
  <c r="Q646" i="1" s="1"/>
  <c r="T646" i="1" s="1"/>
  <c r="O646" i="1"/>
  <c r="M646" i="1"/>
  <c r="K646" i="1"/>
  <c r="I646" i="1"/>
  <c r="S646" i="1" s="1"/>
  <c r="S645" i="1"/>
  <c r="P645" i="1"/>
  <c r="Q645" i="1" s="1"/>
  <c r="T645" i="1" s="1"/>
  <c r="O645" i="1"/>
  <c r="M645" i="1"/>
  <c r="K645" i="1"/>
  <c r="I645" i="1"/>
  <c r="Q644" i="1"/>
  <c r="P644" i="1"/>
  <c r="O644" i="1"/>
  <c r="M644" i="1"/>
  <c r="K644" i="1"/>
  <c r="I644" i="1"/>
  <c r="P643" i="1"/>
  <c r="Q643" i="1" s="1"/>
  <c r="O643" i="1"/>
  <c r="M643" i="1"/>
  <c r="K643" i="1"/>
  <c r="I643" i="1"/>
  <c r="S643" i="1" s="1"/>
  <c r="T642" i="1"/>
  <c r="Q642" i="1"/>
  <c r="P642" i="1"/>
  <c r="O642" i="1"/>
  <c r="M642" i="1"/>
  <c r="K642" i="1"/>
  <c r="I642" i="1"/>
  <c r="S642" i="1" s="1"/>
  <c r="Q641" i="1"/>
  <c r="P641" i="1"/>
  <c r="O641" i="1"/>
  <c r="M641" i="1"/>
  <c r="K641" i="1"/>
  <c r="S641" i="1" s="1"/>
  <c r="I641" i="1"/>
  <c r="P640" i="1"/>
  <c r="Q640" i="1" s="1"/>
  <c r="T640" i="1" s="1"/>
  <c r="O640" i="1"/>
  <c r="M640" i="1"/>
  <c r="K640" i="1"/>
  <c r="I640" i="1"/>
  <c r="S640" i="1" s="1"/>
  <c r="Q639" i="1"/>
  <c r="P639" i="1"/>
  <c r="O639" i="1"/>
  <c r="M639" i="1"/>
  <c r="K639" i="1"/>
  <c r="I639" i="1"/>
  <c r="S639" i="1" s="1"/>
  <c r="T639" i="1" s="1"/>
  <c r="Q638" i="1"/>
  <c r="P638" i="1"/>
  <c r="O638" i="1"/>
  <c r="M638" i="1"/>
  <c r="K638" i="1"/>
  <c r="I638" i="1"/>
  <c r="P637" i="1"/>
  <c r="Q637" i="1" s="1"/>
  <c r="O637" i="1"/>
  <c r="M637" i="1"/>
  <c r="K637" i="1"/>
  <c r="I637" i="1"/>
  <c r="S637" i="1" s="1"/>
  <c r="T636" i="1"/>
  <c r="Q636" i="1"/>
  <c r="P636" i="1"/>
  <c r="M636" i="1"/>
  <c r="K636" i="1"/>
  <c r="I636" i="1"/>
  <c r="S636" i="1" s="1"/>
  <c r="P635" i="1"/>
  <c r="Q635" i="1" s="1"/>
  <c r="M635" i="1"/>
  <c r="K635" i="1"/>
  <c r="S635" i="1" s="1"/>
  <c r="I635" i="1"/>
  <c r="Q634" i="1"/>
  <c r="P634" i="1"/>
  <c r="O634" i="1"/>
  <c r="M634" i="1"/>
  <c r="K634" i="1"/>
  <c r="I634" i="1"/>
  <c r="S634" i="1" s="1"/>
  <c r="T634" i="1" s="1"/>
  <c r="Q633" i="1"/>
  <c r="T633" i="1" s="1"/>
  <c r="P633" i="1"/>
  <c r="O633" i="1"/>
  <c r="M633" i="1"/>
  <c r="K633" i="1"/>
  <c r="S633" i="1" s="1"/>
  <c r="I633" i="1"/>
  <c r="Q632" i="1"/>
  <c r="P632" i="1"/>
  <c r="O632" i="1"/>
  <c r="M632" i="1"/>
  <c r="K632" i="1"/>
  <c r="S632" i="1" s="1"/>
  <c r="I632" i="1"/>
  <c r="Q631" i="1"/>
  <c r="P631" i="1"/>
  <c r="O631" i="1"/>
  <c r="M631" i="1"/>
  <c r="K631" i="1"/>
  <c r="I631" i="1"/>
  <c r="S631" i="1" s="1"/>
  <c r="T631" i="1" s="1"/>
  <c r="Q630" i="1"/>
  <c r="P630" i="1"/>
  <c r="O630" i="1"/>
  <c r="M630" i="1"/>
  <c r="K630" i="1"/>
  <c r="S630" i="1" s="1"/>
  <c r="I630" i="1"/>
  <c r="Q629" i="1"/>
  <c r="T629" i="1" s="1"/>
  <c r="P629" i="1"/>
  <c r="O629" i="1"/>
  <c r="M629" i="1"/>
  <c r="K629" i="1"/>
  <c r="S629" i="1" s="1"/>
  <c r="I629" i="1"/>
  <c r="Q628" i="1"/>
  <c r="P628" i="1"/>
  <c r="M628" i="1"/>
  <c r="K628" i="1"/>
  <c r="I628" i="1"/>
  <c r="S628" i="1" s="1"/>
  <c r="T628" i="1" s="1"/>
  <c r="S627" i="1"/>
  <c r="P627" i="1"/>
  <c r="Q627" i="1" s="1"/>
  <c r="T627" i="1" s="1"/>
  <c r="O627" i="1"/>
  <c r="M627" i="1"/>
  <c r="K627" i="1"/>
  <c r="I627" i="1"/>
  <c r="P626" i="1"/>
  <c r="Q626" i="1" s="1"/>
  <c r="O626" i="1"/>
  <c r="M626" i="1"/>
  <c r="K626" i="1"/>
  <c r="I626" i="1"/>
  <c r="S626" i="1" s="1"/>
  <c r="S625" i="1"/>
  <c r="P625" i="1"/>
  <c r="Q625" i="1" s="1"/>
  <c r="T625" i="1" s="1"/>
  <c r="M625" i="1"/>
  <c r="K625" i="1"/>
  <c r="I625" i="1"/>
  <c r="Q624" i="1"/>
  <c r="P624" i="1"/>
  <c r="M624" i="1"/>
  <c r="K624" i="1"/>
  <c r="I624" i="1"/>
  <c r="S624" i="1" s="1"/>
  <c r="P623" i="1"/>
  <c r="Q623" i="1" s="1"/>
  <c r="M623" i="1"/>
  <c r="K623" i="1"/>
  <c r="S623" i="1" s="1"/>
  <c r="I623" i="1"/>
  <c r="Q622" i="1"/>
  <c r="T622" i="1" s="1"/>
  <c r="P622" i="1"/>
  <c r="M622" i="1"/>
  <c r="K622" i="1"/>
  <c r="I622" i="1"/>
  <c r="S622" i="1" s="1"/>
  <c r="P621" i="1"/>
  <c r="Q621" i="1" s="1"/>
  <c r="M621" i="1"/>
  <c r="K621" i="1"/>
  <c r="I621" i="1"/>
  <c r="S621" i="1" s="1"/>
  <c r="T620" i="1"/>
  <c r="Q620" i="1"/>
  <c r="P620" i="1"/>
  <c r="M620" i="1"/>
  <c r="K620" i="1"/>
  <c r="I620" i="1"/>
  <c r="S620" i="1" s="1"/>
  <c r="P619" i="1"/>
  <c r="Q619" i="1" s="1"/>
  <c r="O619" i="1"/>
  <c r="M619" i="1"/>
  <c r="S619" i="1" s="1"/>
  <c r="K619" i="1"/>
  <c r="I619" i="1"/>
  <c r="P618" i="1"/>
  <c r="Q618" i="1" s="1"/>
  <c r="M618" i="1"/>
  <c r="I618" i="1"/>
  <c r="F618" i="1"/>
  <c r="O618" i="1" s="1"/>
  <c r="T617" i="1"/>
  <c r="Q617" i="1"/>
  <c r="P617" i="1"/>
  <c r="O617" i="1"/>
  <c r="M617" i="1"/>
  <c r="K617" i="1"/>
  <c r="I617" i="1"/>
  <c r="S617" i="1" s="1"/>
  <c r="Q616" i="1"/>
  <c r="P616" i="1"/>
  <c r="M616" i="1"/>
  <c r="K616" i="1"/>
  <c r="I616" i="1"/>
  <c r="P615" i="1"/>
  <c r="Q615" i="1" s="1"/>
  <c r="T615" i="1" s="1"/>
  <c r="O615" i="1"/>
  <c r="M615" i="1"/>
  <c r="K615" i="1"/>
  <c r="I615" i="1"/>
  <c r="S615" i="1" s="1"/>
  <c r="S614" i="1"/>
  <c r="P614" i="1"/>
  <c r="Q614" i="1" s="1"/>
  <c r="M614" i="1"/>
  <c r="K614" i="1"/>
  <c r="I614" i="1"/>
  <c r="Q613" i="1"/>
  <c r="T613" i="1" s="1"/>
  <c r="P613" i="1"/>
  <c r="M613" i="1"/>
  <c r="K613" i="1"/>
  <c r="I613" i="1"/>
  <c r="S613" i="1" s="1"/>
  <c r="S612" i="1"/>
  <c r="P612" i="1"/>
  <c r="Q612" i="1" s="1"/>
  <c r="T612" i="1" s="1"/>
  <c r="M612" i="1"/>
  <c r="K612" i="1"/>
  <c r="I612" i="1"/>
  <c r="Q611" i="1"/>
  <c r="P611" i="1"/>
  <c r="M611" i="1"/>
  <c r="K611" i="1"/>
  <c r="I611" i="1"/>
  <c r="S611" i="1" s="1"/>
  <c r="P610" i="1"/>
  <c r="Q610" i="1" s="1"/>
  <c r="O610" i="1"/>
  <c r="M610" i="1"/>
  <c r="K610" i="1"/>
  <c r="I610" i="1"/>
  <c r="S610" i="1" s="1"/>
  <c r="S609" i="1"/>
  <c r="P609" i="1"/>
  <c r="Q609" i="1" s="1"/>
  <c r="T609" i="1" s="1"/>
  <c r="M609" i="1"/>
  <c r="K609" i="1"/>
  <c r="I609" i="1"/>
  <c r="Q608" i="1"/>
  <c r="T608" i="1" s="1"/>
  <c r="P608" i="1"/>
  <c r="M608" i="1"/>
  <c r="K608" i="1"/>
  <c r="I608" i="1"/>
  <c r="S608" i="1" s="1"/>
  <c r="S607" i="1"/>
  <c r="P607" i="1"/>
  <c r="Q607" i="1" s="1"/>
  <c r="T607" i="1" s="1"/>
  <c r="M607" i="1"/>
  <c r="K607" i="1"/>
  <c r="I607" i="1"/>
  <c r="Q606" i="1"/>
  <c r="P606" i="1"/>
  <c r="M606" i="1"/>
  <c r="K606" i="1"/>
  <c r="I606" i="1"/>
  <c r="P605" i="1"/>
  <c r="Q605" i="1" s="1"/>
  <c r="M605" i="1"/>
  <c r="K605" i="1"/>
  <c r="S605" i="1" s="1"/>
  <c r="I605" i="1"/>
  <c r="Q604" i="1"/>
  <c r="P604" i="1"/>
  <c r="M604" i="1"/>
  <c r="K604" i="1"/>
  <c r="I604" i="1"/>
  <c r="S604" i="1" s="1"/>
  <c r="P603" i="1"/>
  <c r="Q603" i="1" s="1"/>
  <c r="T603" i="1" s="1"/>
  <c r="M603" i="1"/>
  <c r="K603" i="1"/>
  <c r="I603" i="1"/>
  <c r="S603" i="1" s="1"/>
  <c r="Q602" i="1"/>
  <c r="P602" i="1"/>
  <c r="O602" i="1"/>
  <c r="M602" i="1"/>
  <c r="K602" i="1"/>
  <c r="I602" i="1"/>
  <c r="S602" i="1" s="1"/>
  <c r="T602" i="1" s="1"/>
  <c r="Q601" i="1"/>
  <c r="P601" i="1"/>
  <c r="O601" i="1"/>
  <c r="M601" i="1"/>
  <c r="K601" i="1"/>
  <c r="I601" i="1"/>
  <c r="P600" i="1"/>
  <c r="Q600" i="1" s="1"/>
  <c r="M600" i="1"/>
  <c r="K600" i="1"/>
  <c r="I600" i="1"/>
  <c r="S600" i="1" s="1"/>
  <c r="S599" i="1"/>
  <c r="P599" i="1"/>
  <c r="Q599" i="1" s="1"/>
  <c r="T599" i="1" s="1"/>
  <c r="M599" i="1"/>
  <c r="K599" i="1"/>
  <c r="I599" i="1"/>
  <c r="Q598" i="1"/>
  <c r="P598" i="1"/>
  <c r="M598" i="1"/>
  <c r="K598" i="1"/>
  <c r="I598" i="1"/>
  <c r="S598" i="1" s="1"/>
  <c r="P597" i="1"/>
  <c r="Q597" i="1" s="1"/>
  <c r="O597" i="1"/>
  <c r="M597" i="1"/>
  <c r="K597" i="1"/>
  <c r="I597" i="1"/>
  <c r="S597" i="1" s="1"/>
  <c r="S596" i="1"/>
  <c r="T596" i="1" s="1"/>
  <c r="Q594" i="1"/>
  <c r="O594" i="1"/>
  <c r="M594" i="1"/>
  <c r="K594" i="1"/>
  <c r="S594" i="1" s="1"/>
  <c r="I594" i="1"/>
  <c r="Q593" i="1"/>
  <c r="O593" i="1"/>
  <c r="M593" i="1"/>
  <c r="K593" i="1"/>
  <c r="I593" i="1"/>
  <c r="S593" i="1" s="1"/>
  <c r="T593" i="1" s="1"/>
  <c r="Q592" i="1"/>
  <c r="O592" i="1"/>
  <c r="S592" i="1" s="1"/>
  <c r="M592" i="1"/>
  <c r="K592" i="1"/>
  <c r="I592" i="1"/>
  <c r="Q591" i="1"/>
  <c r="O591" i="1"/>
  <c r="M591" i="1"/>
  <c r="K591" i="1"/>
  <c r="I591" i="1"/>
  <c r="S591" i="1" s="1"/>
  <c r="T591" i="1" s="1"/>
  <c r="S590" i="1"/>
  <c r="T590" i="1" s="1"/>
  <c r="Q590" i="1"/>
  <c r="O590" i="1"/>
  <c r="M590" i="1"/>
  <c r="K590" i="1"/>
  <c r="I590" i="1"/>
  <c r="Q589" i="1"/>
  <c r="O589" i="1"/>
  <c r="M589" i="1"/>
  <c r="K589" i="1"/>
  <c r="I589" i="1"/>
  <c r="S589" i="1" s="1"/>
  <c r="S588" i="1"/>
  <c r="Q588" i="1"/>
  <c r="T588" i="1" s="1"/>
  <c r="O588" i="1"/>
  <c r="M588" i="1"/>
  <c r="K588" i="1"/>
  <c r="I588" i="1"/>
  <c r="Q587" i="1"/>
  <c r="O587" i="1"/>
  <c r="M587" i="1"/>
  <c r="K587" i="1"/>
  <c r="I587" i="1"/>
  <c r="S587" i="1" s="1"/>
  <c r="Q586" i="1"/>
  <c r="T586" i="1" s="1"/>
  <c r="O586" i="1"/>
  <c r="M586" i="1"/>
  <c r="K586" i="1"/>
  <c r="S586" i="1" s="1"/>
  <c r="I586" i="1"/>
  <c r="Q585" i="1"/>
  <c r="T585" i="1" s="1"/>
  <c r="O585" i="1"/>
  <c r="M585" i="1"/>
  <c r="K585" i="1"/>
  <c r="I585" i="1"/>
  <c r="S585" i="1" s="1"/>
  <c r="Q584" i="1"/>
  <c r="O584" i="1"/>
  <c r="M584" i="1"/>
  <c r="K584" i="1"/>
  <c r="I584" i="1"/>
  <c r="S584" i="1" s="1"/>
  <c r="T583" i="1"/>
  <c r="Q583" i="1"/>
  <c r="O583" i="1"/>
  <c r="M583" i="1"/>
  <c r="K583" i="1"/>
  <c r="I583" i="1"/>
  <c r="S583" i="1" s="1"/>
  <c r="Q582" i="1"/>
  <c r="O582" i="1"/>
  <c r="M582" i="1"/>
  <c r="K582" i="1"/>
  <c r="S582" i="1" s="1"/>
  <c r="I582" i="1"/>
  <c r="Q581" i="1"/>
  <c r="O581" i="1"/>
  <c r="M581" i="1"/>
  <c r="K581" i="1"/>
  <c r="I581" i="1"/>
  <c r="S581" i="1" s="1"/>
  <c r="T581" i="1" s="1"/>
  <c r="Q580" i="1"/>
  <c r="O580" i="1"/>
  <c r="S580" i="1" s="1"/>
  <c r="M580" i="1"/>
  <c r="K580" i="1"/>
  <c r="I580" i="1"/>
  <c r="Q579" i="1"/>
  <c r="O579" i="1"/>
  <c r="M579" i="1"/>
  <c r="K579" i="1"/>
  <c r="I579" i="1"/>
  <c r="S579" i="1" s="1"/>
  <c r="T579" i="1" s="1"/>
  <c r="S578" i="1"/>
  <c r="T578" i="1" s="1"/>
  <c r="Q578" i="1"/>
  <c r="O578" i="1"/>
  <c r="M578" i="1"/>
  <c r="K578" i="1"/>
  <c r="I578" i="1"/>
  <c r="Q577" i="1"/>
  <c r="O577" i="1"/>
  <c r="M577" i="1"/>
  <c r="K577" i="1"/>
  <c r="I577" i="1"/>
  <c r="S577" i="1" s="1"/>
  <c r="S576" i="1"/>
  <c r="Q576" i="1"/>
  <c r="T576" i="1" s="1"/>
  <c r="O576" i="1"/>
  <c r="M576" i="1"/>
  <c r="K576" i="1"/>
  <c r="I576" i="1"/>
  <c r="Q575" i="1"/>
  <c r="O575" i="1"/>
  <c r="M575" i="1"/>
  <c r="K575" i="1"/>
  <c r="I575" i="1"/>
  <c r="Q574" i="1"/>
  <c r="T574" i="1" s="1"/>
  <c r="O574" i="1"/>
  <c r="M574" i="1"/>
  <c r="K574" i="1"/>
  <c r="S574" i="1" s="1"/>
  <c r="I574" i="1"/>
  <c r="Q573" i="1"/>
  <c r="O573" i="1"/>
  <c r="M573" i="1"/>
  <c r="K573" i="1"/>
  <c r="I573" i="1"/>
  <c r="S573" i="1" s="1"/>
  <c r="Q572" i="1"/>
  <c r="O572" i="1"/>
  <c r="M572" i="1"/>
  <c r="K572" i="1"/>
  <c r="I572" i="1"/>
  <c r="S572" i="1" s="1"/>
  <c r="Q571" i="1"/>
  <c r="O571" i="1"/>
  <c r="M571" i="1"/>
  <c r="K571" i="1"/>
  <c r="I571" i="1"/>
  <c r="S571" i="1" s="1"/>
  <c r="T571" i="1" s="1"/>
  <c r="Q570" i="1"/>
  <c r="T570" i="1" s="1"/>
  <c r="O570" i="1"/>
  <c r="M570" i="1"/>
  <c r="K570" i="1"/>
  <c r="S570" i="1" s="1"/>
  <c r="I570" i="1"/>
  <c r="Q569" i="1"/>
  <c r="O569" i="1"/>
  <c r="M569" i="1"/>
  <c r="K569" i="1"/>
  <c r="I569" i="1"/>
  <c r="S569" i="1" s="1"/>
  <c r="T569" i="1" s="1"/>
  <c r="Q568" i="1"/>
  <c r="T568" i="1" s="1"/>
  <c r="O568" i="1"/>
  <c r="S568" i="1" s="1"/>
  <c r="M568" i="1"/>
  <c r="K568" i="1"/>
  <c r="I568" i="1"/>
  <c r="Q567" i="1"/>
  <c r="O567" i="1"/>
  <c r="M567" i="1"/>
  <c r="K567" i="1"/>
  <c r="I567" i="1"/>
  <c r="S567" i="1" s="1"/>
  <c r="T567" i="1" s="1"/>
  <c r="S566" i="1"/>
  <c r="T566" i="1" s="1"/>
  <c r="Q566" i="1"/>
  <c r="O566" i="1"/>
  <c r="M566" i="1"/>
  <c r="K566" i="1"/>
  <c r="I566" i="1"/>
  <c r="Q565" i="1"/>
  <c r="T565" i="1" s="1"/>
  <c r="O565" i="1"/>
  <c r="M565" i="1"/>
  <c r="K565" i="1"/>
  <c r="I565" i="1"/>
  <c r="S565" i="1" s="1"/>
  <c r="S564" i="1"/>
  <c r="Q564" i="1"/>
  <c r="T564" i="1" s="1"/>
  <c r="O564" i="1"/>
  <c r="M564" i="1"/>
  <c r="K564" i="1"/>
  <c r="I564" i="1"/>
  <c r="Q563" i="1"/>
  <c r="O563" i="1"/>
  <c r="M563" i="1"/>
  <c r="K563" i="1"/>
  <c r="I563" i="1"/>
  <c r="S563" i="1" s="1"/>
  <c r="Q562" i="1"/>
  <c r="O562" i="1"/>
  <c r="M562" i="1"/>
  <c r="K562" i="1"/>
  <c r="S562" i="1" s="1"/>
  <c r="I562" i="1"/>
  <c r="Q561" i="1"/>
  <c r="O561" i="1"/>
  <c r="M561" i="1"/>
  <c r="K561" i="1"/>
  <c r="I561" i="1"/>
  <c r="S561" i="1" s="1"/>
  <c r="Q560" i="1"/>
  <c r="T560" i="1" s="1"/>
  <c r="O560" i="1"/>
  <c r="M560" i="1"/>
  <c r="K560" i="1"/>
  <c r="I560" i="1"/>
  <c r="S560" i="1" s="1"/>
  <c r="Q559" i="1"/>
  <c r="O559" i="1"/>
  <c r="M559" i="1"/>
  <c r="K559" i="1"/>
  <c r="I559" i="1"/>
  <c r="S559" i="1" s="1"/>
  <c r="T559" i="1" s="1"/>
  <c r="Q558" i="1"/>
  <c r="O558" i="1"/>
  <c r="M558" i="1"/>
  <c r="K558" i="1"/>
  <c r="I558" i="1"/>
  <c r="Q557" i="1"/>
  <c r="O557" i="1"/>
  <c r="M557" i="1"/>
  <c r="K557" i="1"/>
  <c r="I557" i="1"/>
  <c r="S557" i="1" s="1"/>
  <c r="T557" i="1" s="1"/>
  <c r="Q556" i="1"/>
  <c r="O556" i="1"/>
  <c r="S556" i="1" s="1"/>
  <c r="M556" i="1"/>
  <c r="K556" i="1"/>
  <c r="I556" i="1"/>
  <c r="Q555" i="1"/>
  <c r="O555" i="1"/>
  <c r="M555" i="1"/>
  <c r="K555" i="1"/>
  <c r="I555" i="1"/>
  <c r="S555" i="1" s="1"/>
  <c r="T555" i="1" s="1"/>
  <c r="S554" i="1"/>
  <c r="T554" i="1" s="1"/>
  <c r="Q554" i="1"/>
  <c r="O554" i="1"/>
  <c r="M554" i="1"/>
  <c r="K554" i="1"/>
  <c r="I554" i="1"/>
  <c r="Q553" i="1"/>
  <c r="O553" i="1"/>
  <c r="M553" i="1"/>
  <c r="K553" i="1"/>
  <c r="I553" i="1"/>
  <c r="S552" i="1"/>
  <c r="Q552" i="1"/>
  <c r="T552" i="1" s="1"/>
  <c r="O552" i="1"/>
  <c r="M552" i="1"/>
  <c r="K552" i="1"/>
  <c r="I552" i="1"/>
  <c r="Q551" i="1"/>
  <c r="T551" i="1" s="1"/>
  <c r="O551" i="1"/>
  <c r="M551" i="1"/>
  <c r="K551" i="1"/>
  <c r="I551" i="1"/>
  <c r="S551" i="1" s="1"/>
  <c r="Q550" i="1"/>
  <c r="O550" i="1"/>
  <c r="M550" i="1"/>
  <c r="K550" i="1"/>
  <c r="S550" i="1" s="1"/>
  <c r="I550" i="1"/>
  <c r="T549" i="1"/>
  <c r="Q549" i="1"/>
  <c r="O549" i="1"/>
  <c r="M549" i="1"/>
  <c r="K549" i="1"/>
  <c r="I549" i="1"/>
  <c r="S549" i="1" s="1"/>
  <c r="Q548" i="1"/>
  <c r="O548" i="1"/>
  <c r="M548" i="1"/>
  <c r="K548" i="1"/>
  <c r="I548" i="1"/>
  <c r="T547" i="1"/>
  <c r="Q547" i="1"/>
  <c r="O547" i="1"/>
  <c r="M547" i="1"/>
  <c r="K547" i="1"/>
  <c r="I547" i="1"/>
  <c r="S547" i="1" s="1"/>
  <c r="Q546" i="1"/>
  <c r="O546" i="1"/>
  <c r="M546" i="1"/>
  <c r="K546" i="1"/>
  <c r="I546" i="1"/>
  <c r="T545" i="1"/>
  <c r="Q545" i="1"/>
  <c r="O545" i="1"/>
  <c r="M545" i="1"/>
  <c r="K545" i="1"/>
  <c r="I545" i="1"/>
  <c r="S545" i="1" s="1"/>
  <c r="Q544" i="1"/>
  <c r="O544" i="1"/>
  <c r="M544" i="1"/>
  <c r="K544" i="1"/>
  <c r="I544" i="1"/>
  <c r="Q543" i="1"/>
  <c r="O543" i="1"/>
  <c r="M543" i="1"/>
  <c r="K543" i="1"/>
  <c r="I543" i="1"/>
  <c r="S543" i="1" s="1"/>
  <c r="T543" i="1" s="1"/>
  <c r="S542" i="1"/>
  <c r="Q542" i="1"/>
  <c r="O542" i="1"/>
  <c r="M542" i="1"/>
  <c r="K542" i="1"/>
  <c r="I542" i="1"/>
  <c r="Q541" i="1"/>
  <c r="O541" i="1"/>
  <c r="M541" i="1"/>
  <c r="K541" i="1"/>
  <c r="I541" i="1"/>
  <c r="S541" i="1" s="1"/>
  <c r="T541" i="1" s="1"/>
  <c r="S540" i="1"/>
  <c r="T540" i="1" s="1"/>
  <c r="Q540" i="1"/>
  <c r="O540" i="1"/>
  <c r="M540" i="1"/>
  <c r="K540" i="1"/>
  <c r="I540" i="1"/>
  <c r="Q539" i="1"/>
  <c r="O539" i="1"/>
  <c r="M539" i="1"/>
  <c r="K539" i="1"/>
  <c r="I539" i="1"/>
  <c r="S538" i="1"/>
  <c r="Q538" i="1"/>
  <c r="T538" i="1" s="1"/>
  <c r="O538" i="1"/>
  <c r="M538" i="1"/>
  <c r="K538" i="1"/>
  <c r="I538" i="1"/>
  <c r="Q537" i="1"/>
  <c r="O537" i="1"/>
  <c r="M537" i="1"/>
  <c r="K537" i="1"/>
  <c r="I537" i="1"/>
  <c r="S537" i="1" s="1"/>
  <c r="Q536" i="1"/>
  <c r="O536" i="1"/>
  <c r="M536" i="1"/>
  <c r="K536" i="1"/>
  <c r="S536" i="1" s="1"/>
  <c r="I536" i="1"/>
  <c r="Q535" i="1"/>
  <c r="T535" i="1" s="1"/>
  <c r="O535" i="1"/>
  <c r="M535" i="1"/>
  <c r="K535" i="1"/>
  <c r="I535" i="1"/>
  <c r="S535" i="1" s="1"/>
  <c r="Q534" i="1"/>
  <c r="O534" i="1"/>
  <c r="M534" i="1"/>
  <c r="K534" i="1"/>
  <c r="I534" i="1"/>
  <c r="S534" i="1" s="1"/>
  <c r="Q533" i="1"/>
  <c r="O533" i="1"/>
  <c r="M533" i="1"/>
  <c r="K533" i="1"/>
  <c r="I533" i="1"/>
  <c r="S533" i="1" s="1"/>
  <c r="T533" i="1" s="1"/>
  <c r="Q532" i="1"/>
  <c r="O532" i="1"/>
  <c r="M532" i="1"/>
  <c r="K532" i="1"/>
  <c r="S532" i="1" s="1"/>
  <c r="T532" i="1" s="1"/>
  <c r="I532" i="1"/>
  <c r="Q531" i="1"/>
  <c r="O531" i="1"/>
  <c r="M531" i="1"/>
  <c r="K531" i="1"/>
  <c r="I531" i="1"/>
  <c r="S531" i="1" s="1"/>
  <c r="T531" i="1" s="1"/>
  <c r="Q530" i="1"/>
  <c r="O530" i="1"/>
  <c r="S530" i="1" s="1"/>
  <c r="M530" i="1"/>
  <c r="K530" i="1"/>
  <c r="I530" i="1"/>
  <c r="Q529" i="1"/>
  <c r="O529" i="1"/>
  <c r="M529" i="1"/>
  <c r="K529" i="1"/>
  <c r="I529" i="1"/>
  <c r="S529" i="1" s="1"/>
  <c r="T529" i="1" s="1"/>
  <c r="S528" i="1"/>
  <c r="T528" i="1" s="1"/>
  <c r="Q528" i="1"/>
  <c r="O528" i="1"/>
  <c r="M528" i="1"/>
  <c r="K528" i="1"/>
  <c r="I528" i="1"/>
  <c r="Q527" i="1"/>
  <c r="O527" i="1"/>
  <c r="M527" i="1"/>
  <c r="K527" i="1"/>
  <c r="I527" i="1"/>
  <c r="S526" i="1"/>
  <c r="Q526" i="1"/>
  <c r="T526" i="1" s="1"/>
  <c r="O526" i="1"/>
  <c r="M526" i="1"/>
  <c r="K526" i="1"/>
  <c r="I526" i="1"/>
  <c r="Q525" i="1"/>
  <c r="O525" i="1"/>
  <c r="M525" i="1"/>
  <c r="K525" i="1"/>
  <c r="I525" i="1"/>
  <c r="Q524" i="1"/>
  <c r="O524" i="1"/>
  <c r="M524" i="1"/>
  <c r="K524" i="1"/>
  <c r="S524" i="1" s="1"/>
  <c r="I524" i="1"/>
  <c r="Q523" i="1"/>
  <c r="O523" i="1"/>
  <c r="M523" i="1"/>
  <c r="K523" i="1"/>
  <c r="I523" i="1"/>
  <c r="S523" i="1" s="1"/>
  <c r="T523" i="1" s="1"/>
  <c r="Q522" i="1"/>
  <c r="O522" i="1"/>
  <c r="M522" i="1"/>
  <c r="K522" i="1"/>
  <c r="I522" i="1"/>
  <c r="S522" i="1" s="1"/>
  <c r="Q521" i="1"/>
  <c r="O521" i="1"/>
  <c r="M521" i="1"/>
  <c r="K521" i="1"/>
  <c r="I521" i="1"/>
  <c r="S521" i="1" s="1"/>
  <c r="T521" i="1" s="1"/>
  <c r="Q520" i="1"/>
  <c r="O520" i="1"/>
  <c r="M520" i="1"/>
  <c r="K520" i="1"/>
  <c r="S520" i="1" s="1"/>
  <c r="T520" i="1" s="1"/>
  <c r="I520" i="1"/>
  <c r="Q519" i="1"/>
  <c r="O519" i="1"/>
  <c r="M519" i="1"/>
  <c r="K519" i="1"/>
  <c r="I519" i="1"/>
  <c r="S519" i="1" s="1"/>
  <c r="T519" i="1" s="1"/>
  <c r="Q518" i="1"/>
  <c r="O518" i="1"/>
  <c r="S518" i="1" s="1"/>
  <c r="M518" i="1"/>
  <c r="K518" i="1"/>
  <c r="I518" i="1"/>
  <c r="Q517" i="1"/>
  <c r="O517" i="1"/>
  <c r="M517" i="1"/>
  <c r="K517" i="1"/>
  <c r="I517" i="1"/>
  <c r="S517" i="1" s="1"/>
  <c r="T517" i="1" s="1"/>
  <c r="S516" i="1"/>
  <c r="T516" i="1" s="1"/>
  <c r="Q516" i="1"/>
  <c r="O516" i="1"/>
  <c r="M516" i="1"/>
  <c r="K516" i="1"/>
  <c r="I516" i="1"/>
  <c r="Q515" i="1"/>
  <c r="O515" i="1"/>
  <c r="M515" i="1"/>
  <c r="K515" i="1"/>
  <c r="I515" i="1"/>
  <c r="S515" i="1" s="1"/>
  <c r="S514" i="1"/>
  <c r="Q514" i="1"/>
  <c r="T514" i="1" s="1"/>
  <c r="O514" i="1"/>
  <c r="M514" i="1"/>
  <c r="K514" i="1"/>
  <c r="I514" i="1"/>
  <c r="Q513" i="1"/>
  <c r="O513" i="1"/>
  <c r="M513" i="1"/>
  <c r="K513" i="1"/>
  <c r="I513" i="1"/>
  <c r="S513" i="1" s="1"/>
  <c r="Q512" i="1"/>
  <c r="T512" i="1" s="1"/>
  <c r="O512" i="1"/>
  <c r="M512" i="1"/>
  <c r="K512" i="1"/>
  <c r="S512" i="1" s="1"/>
  <c r="I512" i="1"/>
  <c r="T511" i="1"/>
  <c r="Q511" i="1"/>
  <c r="O511" i="1"/>
  <c r="M511" i="1"/>
  <c r="K511" i="1"/>
  <c r="I511" i="1"/>
  <c r="S511" i="1" s="1"/>
  <c r="Q510" i="1"/>
  <c r="O510" i="1"/>
  <c r="M510" i="1"/>
  <c r="K510" i="1"/>
  <c r="I510" i="1"/>
  <c r="T509" i="1"/>
  <c r="Q509" i="1"/>
  <c r="O509" i="1"/>
  <c r="M509" i="1"/>
  <c r="K509" i="1"/>
  <c r="I509" i="1"/>
  <c r="S509" i="1" s="1"/>
  <c r="Q508" i="1"/>
  <c r="O508" i="1"/>
  <c r="M508" i="1"/>
  <c r="K508" i="1"/>
  <c r="I508" i="1"/>
  <c r="Q507" i="1"/>
  <c r="O507" i="1"/>
  <c r="M507" i="1"/>
  <c r="K507" i="1"/>
  <c r="I507" i="1"/>
  <c r="S507" i="1" s="1"/>
  <c r="T507" i="1" s="1"/>
  <c r="S506" i="1"/>
  <c r="Q506" i="1"/>
  <c r="O506" i="1"/>
  <c r="M506" i="1"/>
  <c r="K506" i="1"/>
  <c r="I506" i="1"/>
  <c r="Q505" i="1"/>
  <c r="O505" i="1"/>
  <c r="M505" i="1"/>
  <c r="K505" i="1"/>
  <c r="I505" i="1"/>
  <c r="S505" i="1" s="1"/>
  <c r="T505" i="1" s="1"/>
  <c r="S504" i="1"/>
  <c r="T504" i="1" s="1"/>
  <c r="Q504" i="1"/>
  <c r="O504" i="1"/>
  <c r="M504" i="1"/>
  <c r="K504" i="1"/>
  <c r="I504" i="1"/>
  <c r="Q503" i="1"/>
  <c r="O503" i="1"/>
  <c r="M503" i="1"/>
  <c r="K503" i="1"/>
  <c r="I503" i="1"/>
  <c r="S502" i="1"/>
  <c r="T502" i="1" s="1"/>
  <c r="Q500" i="1"/>
  <c r="T500" i="1" s="1"/>
  <c r="O500" i="1"/>
  <c r="M500" i="1"/>
  <c r="K500" i="1"/>
  <c r="I500" i="1"/>
  <c r="S500" i="1" s="1"/>
  <c r="Q499" i="1"/>
  <c r="O499" i="1"/>
  <c r="M499" i="1"/>
  <c r="K499" i="1"/>
  <c r="I499" i="1"/>
  <c r="S499" i="1" s="1"/>
  <c r="Q498" i="1"/>
  <c r="O498" i="1"/>
  <c r="M498" i="1"/>
  <c r="K498" i="1"/>
  <c r="I498" i="1"/>
  <c r="S498" i="1" s="1"/>
  <c r="T498" i="1" s="1"/>
  <c r="Q497" i="1"/>
  <c r="O497" i="1"/>
  <c r="M497" i="1"/>
  <c r="K497" i="1"/>
  <c r="S497" i="1" s="1"/>
  <c r="T497" i="1" s="1"/>
  <c r="I497" i="1"/>
  <c r="T496" i="1"/>
  <c r="Q496" i="1"/>
  <c r="O496" i="1"/>
  <c r="M496" i="1"/>
  <c r="K496" i="1"/>
  <c r="I496" i="1"/>
  <c r="S496" i="1" s="1"/>
  <c r="Q495" i="1"/>
  <c r="O495" i="1"/>
  <c r="M495" i="1"/>
  <c r="K495" i="1"/>
  <c r="S495" i="1" s="1"/>
  <c r="I495" i="1"/>
  <c r="Q494" i="1"/>
  <c r="O494" i="1"/>
  <c r="M494" i="1"/>
  <c r="K494" i="1"/>
  <c r="I494" i="1"/>
  <c r="S494" i="1" s="1"/>
  <c r="T494" i="1" s="1"/>
  <c r="Q493" i="1"/>
  <c r="O493" i="1"/>
  <c r="S493" i="1" s="1"/>
  <c r="T493" i="1" s="1"/>
  <c r="M493" i="1"/>
  <c r="K493" i="1"/>
  <c r="I493" i="1"/>
  <c r="Q492" i="1"/>
  <c r="T492" i="1" s="1"/>
  <c r="O492" i="1"/>
  <c r="M492" i="1"/>
  <c r="K492" i="1"/>
  <c r="I492" i="1"/>
  <c r="S492" i="1" s="1"/>
  <c r="S491" i="1"/>
  <c r="Q491" i="1"/>
  <c r="T491" i="1" s="1"/>
  <c r="O491" i="1"/>
  <c r="M491" i="1"/>
  <c r="K491" i="1"/>
  <c r="I491" i="1"/>
  <c r="T490" i="1"/>
  <c r="Q490" i="1"/>
  <c r="O490" i="1"/>
  <c r="M490" i="1"/>
  <c r="K490" i="1"/>
  <c r="I490" i="1"/>
  <c r="S490" i="1" s="1"/>
  <c r="Q489" i="1"/>
  <c r="O489" i="1"/>
  <c r="M489" i="1"/>
  <c r="K489" i="1"/>
  <c r="S489" i="1" s="1"/>
  <c r="I489" i="1"/>
  <c r="Q488" i="1"/>
  <c r="O488" i="1"/>
  <c r="M488" i="1"/>
  <c r="M465" i="1" s="1"/>
  <c r="K488" i="1"/>
  <c r="I488" i="1"/>
  <c r="Q487" i="1"/>
  <c r="O487" i="1"/>
  <c r="M487" i="1"/>
  <c r="K487" i="1"/>
  <c r="I487" i="1"/>
  <c r="S487" i="1" s="1"/>
  <c r="Q486" i="1"/>
  <c r="T486" i="1" s="1"/>
  <c r="O486" i="1"/>
  <c r="M486" i="1"/>
  <c r="K486" i="1"/>
  <c r="I486" i="1"/>
  <c r="S486" i="1" s="1"/>
  <c r="Q485" i="1"/>
  <c r="O485" i="1"/>
  <c r="M485" i="1"/>
  <c r="K485" i="1"/>
  <c r="S485" i="1" s="1"/>
  <c r="T485" i="1" s="1"/>
  <c r="I485" i="1"/>
  <c r="T484" i="1"/>
  <c r="Q484" i="1"/>
  <c r="O484" i="1"/>
  <c r="M484" i="1"/>
  <c r="K484" i="1"/>
  <c r="I484" i="1"/>
  <c r="S484" i="1" s="1"/>
  <c r="Q483" i="1"/>
  <c r="O483" i="1"/>
  <c r="M483" i="1"/>
  <c r="K483" i="1"/>
  <c r="S483" i="1" s="1"/>
  <c r="I483" i="1"/>
  <c r="Q482" i="1"/>
  <c r="O482" i="1"/>
  <c r="M482" i="1"/>
  <c r="K482" i="1"/>
  <c r="I482" i="1"/>
  <c r="S482" i="1" s="1"/>
  <c r="T482" i="1" s="1"/>
  <c r="Q481" i="1"/>
  <c r="O481" i="1"/>
  <c r="S481" i="1" s="1"/>
  <c r="T481" i="1" s="1"/>
  <c r="M481" i="1"/>
  <c r="K481" i="1"/>
  <c r="I481" i="1"/>
  <c r="Q480" i="1"/>
  <c r="O480" i="1"/>
  <c r="M480" i="1"/>
  <c r="K480" i="1"/>
  <c r="I480" i="1"/>
  <c r="S479" i="1"/>
  <c r="Q479" i="1"/>
  <c r="O479" i="1"/>
  <c r="M479" i="1"/>
  <c r="K479" i="1"/>
  <c r="I479" i="1"/>
  <c r="Q478" i="1"/>
  <c r="O478" i="1"/>
  <c r="M478" i="1"/>
  <c r="K478" i="1"/>
  <c r="I478" i="1"/>
  <c r="Q477" i="1"/>
  <c r="T477" i="1" s="1"/>
  <c r="O477" i="1"/>
  <c r="M477" i="1"/>
  <c r="K477" i="1"/>
  <c r="S477" i="1" s="1"/>
  <c r="I477" i="1"/>
  <c r="Q476" i="1"/>
  <c r="O476" i="1"/>
  <c r="M476" i="1"/>
  <c r="K476" i="1"/>
  <c r="I476" i="1"/>
  <c r="S476" i="1" s="1"/>
  <c r="T476" i="1" s="1"/>
  <c r="Q475" i="1"/>
  <c r="O475" i="1"/>
  <c r="M475" i="1"/>
  <c r="K475" i="1"/>
  <c r="I475" i="1"/>
  <c r="Q474" i="1"/>
  <c r="T474" i="1" s="1"/>
  <c r="O474" i="1"/>
  <c r="M474" i="1"/>
  <c r="K474" i="1"/>
  <c r="I474" i="1"/>
  <c r="S474" i="1" s="1"/>
  <c r="Q473" i="1"/>
  <c r="O473" i="1"/>
  <c r="S473" i="1" s="1"/>
  <c r="T473" i="1" s="1"/>
  <c r="M473" i="1"/>
  <c r="K473" i="1"/>
  <c r="I473" i="1"/>
  <c r="Q472" i="1"/>
  <c r="O472" i="1"/>
  <c r="M472" i="1"/>
  <c r="K472" i="1"/>
  <c r="I472" i="1"/>
  <c r="S472" i="1" s="1"/>
  <c r="T472" i="1" s="1"/>
  <c r="Q471" i="1"/>
  <c r="O471" i="1"/>
  <c r="S471" i="1" s="1"/>
  <c r="M471" i="1"/>
  <c r="K471" i="1"/>
  <c r="I471" i="1"/>
  <c r="Q470" i="1"/>
  <c r="O470" i="1"/>
  <c r="M470" i="1"/>
  <c r="K470" i="1"/>
  <c r="I470" i="1"/>
  <c r="Q469" i="1"/>
  <c r="O469" i="1"/>
  <c r="S469" i="1" s="1"/>
  <c r="T469" i="1" s="1"/>
  <c r="M469" i="1"/>
  <c r="K469" i="1"/>
  <c r="I469" i="1"/>
  <c r="Q468" i="1"/>
  <c r="O468" i="1"/>
  <c r="M468" i="1"/>
  <c r="K468" i="1"/>
  <c r="I468" i="1"/>
  <c r="S468" i="1" s="1"/>
  <c r="S467" i="1"/>
  <c r="Q467" i="1"/>
  <c r="O467" i="1"/>
  <c r="M467" i="1"/>
  <c r="K467" i="1"/>
  <c r="I467" i="1"/>
  <c r="T466" i="1"/>
  <c r="S466" i="1"/>
  <c r="Q464" i="1"/>
  <c r="O464" i="1"/>
  <c r="M464" i="1"/>
  <c r="K464" i="1"/>
  <c r="I464" i="1"/>
  <c r="Q463" i="1"/>
  <c r="T463" i="1" s="1"/>
  <c r="O463" i="1"/>
  <c r="M463" i="1"/>
  <c r="K463" i="1"/>
  <c r="I463" i="1"/>
  <c r="S463" i="1" s="1"/>
  <c r="Q462" i="1"/>
  <c r="O462" i="1"/>
  <c r="M462" i="1"/>
  <c r="K462" i="1"/>
  <c r="S462" i="1" s="1"/>
  <c r="I462" i="1"/>
  <c r="Q461" i="1"/>
  <c r="T461" i="1" s="1"/>
  <c r="O461" i="1"/>
  <c r="M461" i="1"/>
  <c r="K461" i="1"/>
  <c r="I461" i="1"/>
  <c r="S461" i="1" s="1"/>
  <c r="Q460" i="1"/>
  <c r="O460" i="1"/>
  <c r="M460" i="1"/>
  <c r="K460" i="1"/>
  <c r="S460" i="1" s="1"/>
  <c r="T460" i="1" s="1"/>
  <c r="I460" i="1"/>
  <c r="Q459" i="1"/>
  <c r="O459" i="1"/>
  <c r="M459" i="1"/>
  <c r="K459" i="1"/>
  <c r="I459" i="1"/>
  <c r="S459" i="1" s="1"/>
  <c r="T459" i="1" s="1"/>
  <c r="Q458" i="1"/>
  <c r="O458" i="1"/>
  <c r="M458" i="1"/>
  <c r="K458" i="1"/>
  <c r="S458" i="1" s="1"/>
  <c r="T458" i="1" s="1"/>
  <c r="I458" i="1"/>
  <c r="Q457" i="1"/>
  <c r="O457" i="1"/>
  <c r="M457" i="1"/>
  <c r="K457" i="1"/>
  <c r="I457" i="1"/>
  <c r="S457" i="1" s="1"/>
  <c r="S456" i="1"/>
  <c r="Q456" i="1"/>
  <c r="O456" i="1"/>
  <c r="M456" i="1"/>
  <c r="K456" i="1"/>
  <c r="I456" i="1"/>
  <c r="Q455" i="1"/>
  <c r="O455" i="1"/>
  <c r="M455" i="1"/>
  <c r="K455" i="1"/>
  <c r="I455" i="1"/>
  <c r="S455" i="1" s="1"/>
  <c r="T455" i="1" s="1"/>
  <c r="S454" i="1"/>
  <c r="Q454" i="1"/>
  <c r="O454" i="1"/>
  <c r="M454" i="1"/>
  <c r="K454" i="1"/>
  <c r="I454" i="1"/>
  <c r="Q453" i="1"/>
  <c r="O453" i="1"/>
  <c r="M453" i="1"/>
  <c r="K453" i="1"/>
  <c r="I453" i="1"/>
  <c r="S453" i="1" s="1"/>
  <c r="T453" i="1" s="1"/>
  <c r="Q452" i="1"/>
  <c r="O452" i="1"/>
  <c r="M452" i="1"/>
  <c r="K452" i="1"/>
  <c r="I452" i="1"/>
  <c r="Q451" i="1"/>
  <c r="O451" i="1"/>
  <c r="M451" i="1"/>
  <c r="K451" i="1"/>
  <c r="I451" i="1"/>
  <c r="Q450" i="1"/>
  <c r="O450" i="1"/>
  <c r="M450" i="1"/>
  <c r="K450" i="1"/>
  <c r="S450" i="1" s="1"/>
  <c r="I450" i="1"/>
  <c r="T449" i="1"/>
  <c r="Q449" i="1"/>
  <c r="O449" i="1"/>
  <c r="M449" i="1"/>
  <c r="K449" i="1"/>
  <c r="I449" i="1"/>
  <c r="S449" i="1" s="1"/>
  <c r="Q448" i="1"/>
  <c r="O448" i="1"/>
  <c r="M448" i="1"/>
  <c r="K448" i="1"/>
  <c r="S448" i="1" s="1"/>
  <c r="T448" i="1" s="1"/>
  <c r="I448" i="1"/>
  <c r="Q447" i="1"/>
  <c r="O447" i="1"/>
  <c r="M447" i="1"/>
  <c r="K447" i="1"/>
  <c r="I447" i="1"/>
  <c r="Q446" i="1"/>
  <c r="O446" i="1"/>
  <c r="M446" i="1"/>
  <c r="K446" i="1"/>
  <c r="S446" i="1" s="1"/>
  <c r="T446" i="1" s="1"/>
  <c r="I446" i="1"/>
  <c r="Q445" i="1"/>
  <c r="T445" i="1" s="1"/>
  <c r="O445" i="1"/>
  <c r="M445" i="1"/>
  <c r="K445" i="1"/>
  <c r="I445" i="1"/>
  <c r="S445" i="1" s="1"/>
  <c r="Q444" i="1"/>
  <c r="O444" i="1"/>
  <c r="S444" i="1" s="1"/>
  <c r="M444" i="1"/>
  <c r="K444" i="1"/>
  <c r="I444" i="1"/>
  <c r="Q443" i="1"/>
  <c r="T443" i="1" s="1"/>
  <c r="O443" i="1"/>
  <c r="M443" i="1"/>
  <c r="K443" i="1"/>
  <c r="I443" i="1"/>
  <c r="S443" i="1" s="1"/>
  <c r="Q442" i="1"/>
  <c r="O442" i="1"/>
  <c r="M442" i="1"/>
  <c r="K442" i="1"/>
  <c r="S442" i="1" s="1"/>
  <c r="I442" i="1"/>
  <c r="Q441" i="1"/>
  <c r="T441" i="1" s="1"/>
  <c r="O441" i="1"/>
  <c r="M441" i="1"/>
  <c r="K441" i="1"/>
  <c r="I441" i="1"/>
  <c r="S441" i="1" s="1"/>
  <c r="Q440" i="1"/>
  <c r="O440" i="1"/>
  <c r="M440" i="1"/>
  <c r="K440" i="1"/>
  <c r="I440" i="1"/>
  <c r="S440" i="1" s="1"/>
  <c r="Q439" i="1"/>
  <c r="M439" i="1"/>
  <c r="F439" i="1"/>
  <c r="O439" i="1" s="1"/>
  <c r="Q438" i="1"/>
  <c r="T438" i="1" s="1"/>
  <c r="O438" i="1"/>
  <c r="M438" i="1"/>
  <c r="K438" i="1"/>
  <c r="I438" i="1"/>
  <c r="S438" i="1" s="1"/>
  <c r="Q437" i="1"/>
  <c r="O437" i="1"/>
  <c r="M437" i="1"/>
  <c r="K437" i="1"/>
  <c r="S437" i="1" s="1"/>
  <c r="I437" i="1"/>
  <c r="Q436" i="1"/>
  <c r="T436" i="1" s="1"/>
  <c r="O436" i="1"/>
  <c r="M436" i="1"/>
  <c r="K436" i="1"/>
  <c r="I436" i="1"/>
  <c r="S436" i="1" s="1"/>
  <c r="Q435" i="1"/>
  <c r="O435" i="1"/>
  <c r="M435" i="1"/>
  <c r="K435" i="1"/>
  <c r="I435" i="1"/>
  <c r="S435" i="1" s="1"/>
  <c r="Q434" i="1"/>
  <c r="O434" i="1"/>
  <c r="M434" i="1"/>
  <c r="K434" i="1"/>
  <c r="I434" i="1"/>
  <c r="S434" i="1" s="1"/>
  <c r="T434" i="1" s="1"/>
  <c r="S433" i="1"/>
  <c r="Q433" i="1"/>
  <c r="O433" i="1"/>
  <c r="M433" i="1"/>
  <c r="K433" i="1"/>
  <c r="I433" i="1"/>
  <c r="Q432" i="1"/>
  <c r="O432" i="1"/>
  <c r="M432" i="1"/>
  <c r="K432" i="1"/>
  <c r="I432" i="1"/>
  <c r="S432" i="1" s="1"/>
  <c r="T432" i="1" s="1"/>
  <c r="S431" i="1"/>
  <c r="T431" i="1" s="1"/>
  <c r="Q431" i="1"/>
  <c r="O431" i="1"/>
  <c r="M431" i="1"/>
  <c r="K431" i="1"/>
  <c r="I431" i="1"/>
  <c r="Q430" i="1"/>
  <c r="O430" i="1"/>
  <c r="M430" i="1"/>
  <c r="K430" i="1"/>
  <c r="I430" i="1"/>
  <c r="S430" i="1" s="1"/>
  <c r="T430" i="1" s="1"/>
  <c r="S429" i="1"/>
  <c r="T429" i="1" s="1"/>
  <c r="Q429" i="1"/>
  <c r="O429" i="1"/>
  <c r="M429" i="1"/>
  <c r="K429" i="1"/>
  <c r="I429" i="1"/>
  <c r="Q428" i="1"/>
  <c r="O428" i="1"/>
  <c r="M428" i="1"/>
  <c r="K428" i="1"/>
  <c r="I428" i="1"/>
  <c r="Q427" i="1"/>
  <c r="O427" i="1"/>
  <c r="S427" i="1" s="1"/>
  <c r="M427" i="1"/>
  <c r="K427" i="1"/>
  <c r="I427" i="1"/>
  <c r="Q426" i="1"/>
  <c r="O426" i="1"/>
  <c r="M426" i="1"/>
  <c r="K426" i="1"/>
  <c r="I426" i="1"/>
  <c r="Q425" i="1"/>
  <c r="O425" i="1"/>
  <c r="M425" i="1"/>
  <c r="K425" i="1"/>
  <c r="S425" i="1" s="1"/>
  <c r="I425" i="1"/>
  <c r="Q424" i="1"/>
  <c r="O424" i="1"/>
  <c r="M424" i="1"/>
  <c r="K424" i="1"/>
  <c r="I424" i="1"/>
  <c r="Q423" i="1"/>
  <c r="O423" i="1"/>
  <c r="M423" i="1"/>
  <c r="K423" i="1"/>
  <c r="I423" i="1"/>
  <c r="Q422" i="1"/>
  <c r="T422" i="1" s="1"/>
  <c r="O422" i="1"/>
  <c r="M422" i="1"/>
  <c r="K422" i="1"/>
  <c r="I422" i="1"/>
  <c r="S422" i="1" s="1"/>
  <c r="Q421" i="1"/>
  <c r="O421" i="1"/>
  <c r="M421" i="1"/>
  <c r="K421" i="1"/>
  <c r="S421" i="1" s="1"/>
  <c r="I421" i="1"/>
  <c r="Q420" i="1"/>
  <c r="T420" i="1" s="1"/>
  <c r="O420" i="1"/>
  <c r="M420" i="1"/>
  <c r="K420" i="1"/>
  <c r="I420" i="1"/>
  <c r="S420" i="1" s="1"/>
  <c r="Q419" i="1"/>
  <c r="O419" i="1"/>
  <c r="M419" i="1"/>
  <c r="K419" i="1"/>
  <c r="I419" i="1"/>
  <c r="T418" i="1"/>
  <c r="Q418" i="1"/>
  <c r="O418" i="1"/>
  <c r="M418" i="1"/>
  <c r="K418" i="1"/>
  <c r="I418" i="1"/>
  <c r="S418" i="1" s="1"/>
  <c r="Q417" i="1"/>
  <c r="O417" i="1"/>
  <c r="M417" i="1"/>
  <c r="K417" i="1"/>
  <c r="S417" i="1" s="1"/>
  <c r="T417" i="1" s="1"/>
  <c r="I417" i="1"/>
  <c r="Q416" i="1"/>
  <c r="O416" i="1"/>
  <c r="O414" i="1" s="1"/>
  <c r="M416" i="1"/>
  <c r="K416" i="1"/>
  <c r="I416" i="1"/>
  <c r="S415" i="1"/>
  <c r="T415" i="1" s="1"/>
  <c r="T413" i="1"/>
  <c r="Q413" i="1"/>
  <c r="O413" i="1"/>
  <c r="M413" i="1"/>
  <c r="K413" i="1"/>
  <c r="I413" i="1"/>
  <c r="S413" i="1" s="1"/>
  <c r="Q412" i="1"/>
  <c r="O412" i="1"/>
  <c r="M412" i="1"/>
  <c r="K412" i="1"/>
  <c r="I412" i="1"/>
  <c r="S412" i="1" s="1"/>
  <c r="Q411" i="1"/>
  <c r="O411" i="1"/>
  <c r="M411" i="1"/>
  <c r="K411" i="1"/>
  <c r="I411" i="1"/>
  <c r="S410" i="1"/>
  <c r="Q410" i="1"/>
  <c r="O410" i="1"/>
  <c r="M410" i="1"/>
  <c r="K410" i="1"/>
  <c r="I410" i="1"/>
  <c r="Q409" i="1"/>
  <c r="T409" i="1" s="1"/>
  <c r="O409" i="1"/>
  <c r="M409" i="1"/>
  <c r="K409" i="1"/>
  <c r="I409" i="1"/>
  <c r="S409" i="1" s="1"/>
  <c r="S408" i="1"/>
  <c r="T408" i="1" s="1"/>
  <c r="Q408" i="1"/>
  <c r="O408" i="1"/>
  <c r="M408" i="1"/>
  <c r="K408" i="1"/>
  <c r="I408" i="1"/>
  <c r="Q407" i="1"/>
  <c r="O407" i="1"/>
  <c r="M407" i="1"/>
  <c r="K407" i="1"/>
  <c r="I407" i="1"/>
  <c r="S406" i="1"/>
  <c r="T406" i="1" s="1"/>
  <c r="Q406" i="1"/>
  <c r="O406" i="1"/>
  <c r="M406" i="1"/>
  <c r="K406" i="1"/>
  <c r="I406" i="1"/>
  <c r="Q405" i="1"/>
  <c r="O405" i="1"/>
  <c r="M405" i="1"/>
  <c r="K405" i="1"/>
  <c r="I405" i="1"/>
  <c r="S405" i="1" s="1"/>
  <c r="S404" i="1"/>
  <c r="Q404" i="1"/>
  <c r="T404" i="1" s="1"/>
  <c r="O404" i="1"/>
  <c r="M404" i="1"/>
  <c r="K404" i="1"/>
  <c r="I404" i="1"/>
  <c r="Q403" i="1"/>
  <c r="T403" i="1" s="1"/>
  <c r="O403" i="1"/>
  <c r="M403" i="1"/>
  <c r="K403" i="1"/>
  <c r="I403" i="1"/>
  <c r="S403" i="1" s="1"/>
  <c r="S402" i="1"/>
  <c r="T402" i="1" s="1"/>
  <c r="Q402" i="1"/>
  <c r="O402" i="1"/>
  <c r="M402" i="1"/>
  <c r="K402" i="1"/>
  <c r="I402" i="1"/>
  <c r="Q401" i="1"/>
  <c r="T401" i="1" s="1"/>
  <c r="O401" i="1"/>
  <c r="M401" i="1"/>
  <c r="K401" i="1"/>
  <c r="I401" i="1"/>
  <c r="S401" i="1" s="1"/>
  <c r="Q400" i="1"/>
  <c r="O400" i="1"/>
  <c r="M400" i="1"/>
  <c r="K400" i="1"/>
  <c r="I400" i="1"/>
  <c r="Q399" i="1"/>
  <c r="O399" i="1"/>
  <c r="M399" i="1"/>
  <c r="K399" i="1"/>
  <c r="I399" i="1"/>
  <c r="Q398" i="1"/>
  <c r="O398" i="1"/>
  <c r="S398" i="1" s="1"/>
  <c r="M398" i="1"/>
  <c r="K398" i="1"/>
  <c r="I398" i="1"/>
  <c r="Q397" i="1"/>
  <c r="T397" i="1" s="1"/>
  <c r="O397" i="1"/>
  <c r="M397" i="1"/>
  <c r="K397" i="1"/>
  <c r="I397" i="1"/>
  <c r="S397" i="1" s="1"/>
  <c r="T396" i="1"/>
  <c r="S396" i="1"/>
  <c r="Q396" i="1"/>
  <c r="O396" i="1"/>
  <c r="M396" i="1"/>
  <c r="K396" i="1"/>
  <c r="I396" i="1"/>
  <c r="Q395" i="1"/>
  <c r="O395" i="1"/>
  <c r="M395" i="1"/>
  <c r="K395" i="1"/>
  <c r="I395" i="1"/>
  <c r="S395" i="1" s="1"/>
  <c r="T395" i="1" s="1"/>
  <c r="S394" i="1"/>
  <c r="T394" i="1" s="1"/>
  <c r="Q394" i="1"/>
  <c r="O394" i="1"/>
  <c r="M394" i="1"/>
  <c r="K394" i="1"/>
  <c r="I394" i="1"/>
  <c r="Q393" i="1"/>
  <c r="O393" i="1"/>
  <c r="M393" i="1"/>
  <c r="K393" i="1"/>
  <c r="I393" i="1"/>
  <c r="Q392" i="1"/>
  <c r="O392" i="1"/>
  <c r="S392" i="1" s="1"/>
  <c r="M392" i="1"/>
  <c r="K392" i="1"/>
  <c r="I392" i="1"/>
  <c r="Q391" i="1"/>
  <c r="T391" i="1" s="1"/>
  <c r="O391" i="1"/>
  <c r="M391" i="1"/>
  <c r="K391" i="1"/>
  <c r="I391" i="1"/>
  <c r="S391" i="1" s="1"/>
  <c r="S390" i="1"/>
  <c r="T390" i="1" s="1"/>
  <c r="Q390" i="1"/>
  <c r="O390" i="1"/>
  <c r="M390" i="1"/>
  <c r="K390" i="1"/>
  <c r="K385" i="1" s="1"/>
  <c r="I390" i="1"/>
  <c r="Q389" i="1"/>
  <c r="T389" i="1" s="1"/>
  <c r="O389" i="1"/>
  <c r="M389" i="1"/>
  <c r="K389" i="1"/>
  <c r="I389" i="1"/>
  <c r="S389" i="1" s="1"/>
  <c r="Q388" i="1"/>
  <c r="O388" i="1"/>
  <c r="M388" i="1"/>
  <c r="K388" i="1"/>
  <c r="I388" i="1"/>
  <c r="Q387" i="1"/>
  <c r="O387" i="1"/>
  <c r="M387" i="1"/>
  <c r="M385" i="1" s="1"/>
  <c r="K387" i="1"/>
  <c r="I387" i="1"/>
  <c r="S386" i="1"/>
  <c r="T386" i="1" s="1"/>
  <c r="Q384" i="1"/>
  <c r="O384" i="1"/>
  <c r="M384" i="1"/>
  <c r="K384" i="1"/>
  <c r="I384" i="1"/>
  <c r="S383" i="1"/>
  <c r="T383" i="1" s="1"/>
  <c r="Q383" i="1"/>
  <c r="O383" i="1"/>
  <c r="M383" i="1"/>
  <c r="K383" i="1"/>
  <c r="I383" i="1"/>
  <c r="Q382" i="1"/>
  <c r="O382" i="1"/>
  <c r="M382" i="1"/>
  <c r="K382" i="1"/>
  <c r="I382" i="1"/>
  <c r="S382" i="1" s="1"/>
  <c r="Q381" i="1"/>
  <c r="O381" i="1"/>
  <c r="S381" i="1" s="1"/>
  <c r="M381" i="1"/>
  <c r="K381" i="1"/>
  <c r="I381" i="1"/>
  <c r="Q380" i="1"/>
  <c r="T380" i="1" s="1"/>
  <c r="O380" i="1"/>
  <c r="M380" i="1"/>
  <c r="K380" i="1"/>
  <c r="I380" i="1"/>
  <c r="S380" i="1" s="1"/>
  <c r="Q379" i="1"/>
  <c r="O379" i="1"/>
  <c r="M379" i="1"/>
  <c r="S379" i="1" s="1"/>
  <c r="T379" i="1" s="1"/>
  <c r="K379" i="1"/>
  <c r="I379" i="1"/>
  <c r="Q378" i="1"/>
  <c r="O378" i="1"/>
  <c r="M378" i="1"/>
  <c r="K378" i="1"/>
  <c r="I378" i="1"/>
  <c r="Q377" i="1"/>
  <c r="O377" i="1"/>
  <c r="M377" i="1"/>
  <c r="K377" i="1"/>
  <c r="I377" i="1"/>
  <c r="Q376" i="1"/>
  <c r="O376" i="1"/>
  <c r="M376" i="1"/>
  <c r="K376" i="1"/>
  <c r="I376" i="1"/>
  <c r="S376" i="1" s="1"/>
  <c r="T376" i="1" s="1"/>
  <c r="Q375" i="1"/>
  <c r="O375" i="1"/>
  <c r="S375" i="1" s="1"/>
  <c r="T375" i="1" s="1"/>
  <c r="M375" i="1"/>
  <c r="K375" i="1"/>
  <c r="I375" i="1"/>
  <c r="Q374" i="1"/>
  <c r="T374" i="1" s="1"/>
  <c r="O374" i="1"/>
  <c r="M374" i="1"/>
  <c r="K374" i="1"/>
  <c r="I374" i="1"/>
  <c r="S374" i="1" s="1"/>
  <c r="S373" i="1"/>
  <c r="Q373" i="1"/>
  <c r="O373" i="1"/>
  <c r="M373" i="1"/>
  <c r="K373" i="1"/>
  <c r="I373" i="1"/>
  <c r="Q372" i="1"/>
  <c r="O372" i="1"/>
  <c r="O369" i="1" s="1"/>
  <c r="M372" i="1"/>
  <c r="K372" i="1"/>
  <c r="I372" i="1"/>
  <c r="S371" i="1"/>
  <c r="T371" i="1" s="1"/>
  <c r="Q371" i="1"/>
  <c r="O371" i="1"/>
  <c r="M371" i="1"/>
  <c r="K371" i="1"/>
  <c r="I371" i="1"/>
  <c r="S370" i="1"/>
  <c r="T370" i="1" s="1"/>
  <c r="I369" i="1"/>
  <c r="Q368" i="1"/>
  <c r="O368" i="1"/>
  <c r="M368" i="1"/>
  <c r="K368" i="1"/>
  <c r="I368" i="1"/>
  <c r="S368" i="1" s="1"/>
  <c r="T368" i="1" s="1"/>
  <c r="T367" i="1"/>
  <c r="S367" i="1"/>
  <c r="Q367" i="1"/>
  <c r="O367" i="1"/>
  <c r="M367" i="1"/>
  <c r="K367" i="1"/>
  <c r="I367" i="1"/>
  <c r="Q366" i="1"/>
  <c r="O366" i="1"/>
  <c r="M366" i="1"/>
  <c r="K366" i="1"/>
  <c r="I366" i="1"/>
  <c r="T365" i="1"/>
  <c r="Q365" i="1"/>
  <c r="O365" i="1"/>
  <c r="M365" i="1"/>
  <c r="K365" i="1"/>
  <c r="I365" i="1"/>
  <c r="S365" i="1" s="1"/>
  <c r="Q364" i="1"/>
  <c r="O364" i="1"/>
  <c r="M364" i="1"/>
  <c r="K364" i="1"/>
  <c r="I364" i="1"/>
  <c r="S364" i="1" s="1"/>
  <c r="Q363" i="1"/>
  <c r="T363" i="1" s="1"/>
  <c r="O363" i="1"/>
  <c r="M363" i="1"/>
  <c r="S363" i="1" s="1"/>
  <c r="K363" i="1"/>
  <c r="I363" i="1"/>
  <c r="Q362" i="1"/>
  <c r="O362" i="1"/>
  <c r="M362" i="1"/>
  <c r="K362" i="1"/>
  <c r="I362" i="1"/>
  <c r="S362" i="1" s="1"/>
  <c r="T362" i="1" s="1"/>
  <c r="S361" i="1"/>
  <c r="Q361" i="1"/>
  <c r="T361" i="1" s="1"/>
  <c r="O361" i="1"/>
  <c r="M361" i="1"/>
  <c r="K361" i="1"/>
  <c r="I361" i="1"/>
  <c r="Q360" i="1"/>
  <c r="O360" i="1"/>
  <c r="M360" i="1"/>
  <c r="K360" i="1"/>
  <c r="I360" i="1"/>
  <c r="S360" i="1" s="1"/>
  <c r="T359" i="1"/>
  <c r="Q359" i="1"/>
  <c r="O359" i="1"/>
  <c r="M359" i="1"/>
  <c r="K359" i="1"/>
  <c r="I359" i="1"/>
  <c r="S359" i="1" s="1"/>
  <c r="Q358" i="1"/>
  <c r="O358" i="1"/>
  <c r="M358" i="1"/>
  <c r="K358" i="1"/>
  <c r="S358" i="1" s="1"/>
  <c r="T358" i="1" s="1"/>
  <c r="I358" i="1"/>
  <c r="Q357" i="1"/>
  <c r="O357" i="1"/>
  <c r="M357" i="1"/>
  <c r="K357" i="1"/>
  <c r="I357" i="1"/>
  <c r="S357" i="1" s="1"/>
  <c r="Q356" i="1"/>
  <c r="O356" i="1"/>
  <c r="S356" i="1" s="1"/>
  <c r="T356" i="1" s="1"/>
  <c r="M356" i="1"/>
  <c r="K356" i="1"/>
  <c r="I356" i="1"/>
  <c r="Q355" i="1"/>
  <c r="O355" i="1"/>
  <c r="M355" i="1"/>
  <c r="K355" i="1"/>
  <c r="I355" i="1"/>
  <c r="S355" i="1" s="1"/>
  <c r="S354" i="1"/>
  <c r="T354" i="1" s="1"/>
  <c r="Q354" i="1"/>
  <c r="O354" i="1"/>
  <c r="M354" i="1"/>
  <c r="K354" i="1"/>
  <c r="I354" i="1"/>
  <c r="Q353" i="1"/>
  <c r="O353" i="1"/>
  <c r="M353" i="1"/>
  <c r="K353" i="1"/>
  <c r="I353" i="1"/>
  <c r="S353" i="1" s="1"/>
  <c r="Q352" i="1"/>
  <c r="T352" i="1" s="1"/>
  <c r="O352" i="1"/>
  <c r="M352" i="1"/>
  <c r="K352" i="1"/>
  <c r="I352" i="1"/>
  <c r="S352" i="1" s="1"/>
  <c r="Q351" i="1"/>
  <c r="O351" i="1"/>
  <c r="M351" i="1"/>
  <c r="S351" i="1" s="1"/>
  <c r="K351" i="1"/>
  <c r="I351" i="1"/>
  <c r="Q350" i="1"/>
  <c r="O350" i="1"/>
  <c r="M350" i="1"/>
  <c r="K350" i="1"/>
  <c r="I350" i="1"/>
  <c r="Q349" i="1"/>
  <c r="T349" i="1" s="1"/>
  <c r="O349" i="1"/>
  <c r="M349" i="1"/>
  <c r="K349" i="1"/>
  <c r="S349" i="1" s="1"/>
  <c r="I349" i="1"/>
  <c r="Q348" i="1"/>
  <c r="O348" i="1"/>
  <c r="M348" i="1"/>
  <c r="K348" i="1"/>
  <c r="I348" i="1"/>
  <c r="S348" i="1" s="1"/>
  <c r="T347" i="1"/>
  <c r="Q347" i="1"/>
  <c r="O347" i="1"/>
  <c r="M347" i="1"/>
  <c r="K347" i="1"/>
  <c r="I347" i="1"/>
  <c r="S347" i="1" s="1"/>
  <c r="Q346" i="1"/>
  <c r="O346" i="1"/>
  <c r="M346" i="1"/>
  <c r="K346" i="1"/>
  <c r="S346" i="1" s="1"/>
  <c r="T346" i="1" s="1"/>
  <c r="I346" i="1"/>
  <c r="Q345" i="1"/>
  <c r="T345" i="1" s="1"/>
  <c r="O345" i="1"/>
  <c r="M345" i="1"/>
  <c r="K345" i="1"/>
  <c r="I345" i="1"/>
  <c r="S345" i="1" s="1"/>
  <c r="Q344" i="1"/>
  <c r="O344" i="1"/>
  <c r="S344" i="1" s="1"/>
  <c r="T344" i="1" s="1"/>
  <c r="M344" i="1"/>
  <c r="K344" i="1"/>
  <c r="I344" i="1"/>
  <c r="Q343" i="1"/>
  <c r="O343" i="1"/>
  <c r="M343" i="1"/>
  <c r="K343" i="1"/>
  <c r="I343" i="1"/>
  <c r="S342" i="1"/>
  <c r="T342" i="1" s="1"/>
  <c r="Q342" i="1"/>
  <c r="O342" i="1"/>
  <c r="M342" i="1"/>
  <c r="K342" i="1"/>
  <c r="I342" i="1"/>
  <c r="S341" i="1"/>
  <c r="Q341" i="1"/>
  <c r="T341" i="1" s="1"/>
  <c r="O341" i="1"/>
  <c r="M341" i="1"/>
  <c r="K341" i="1"/>
  <c r="I341" i="1"/>
  <c r="Q340" i="1"/>
  <c r="O340" i="1"/>
  <c r="M340" i="1"/>
  <c r="K340" i="1"/>
  <c r="I340" i="1"/>
  <c r="S340" i="1" s="1"/>
  <c r="Q339" i="1"/>
  <c r="O339" i="1"/>
  <c r="M339" i="1"/>
  <c r="S339" i="1" s="1"/>
  <c r="K339" i="1"/>
  <c r="I339" i="1"/>
  <c r="Q338" i="1"/>
  <c r="O338" i="1"/>
  <c r="M338" i="1"/>
  <c r="K338" i="1"/>
  <c r="I338" i="1"/>
  <c r="Q337" i="1"/>
  <c r="T337" i="1" s="1"/>
  <c r="O337" i="1"/>
  <c r="M337" i="1"/>
  <c r="K337" i="1"/>
  <c r="S337" i="1" s="1"/>
  <c r="I337" i="1"/>
  <c r="Q336" i="1"/>
  <c r="T336" i="1" s="1"/>
  <c r="O336" i="1"/>
  <c r="M336" i="1"/>
  <c r="K336" i="1"/>
  <c r="I336" i="1"/>
  <c r="S336" i="1" s="1"/>
  <c r="Q335" i="1"/>
  <c r="O335" i="1"/>
  <c r="M335" i="1"/>
  <c r="K335" i="1"/>
  <c r="I335" i="1"/>
  <c r="S335" i="1" s="1"/>
  <c r="T335" i="1" s="1"/>
  <c r="T334" i="1"/>
  <c r="Q334" i="1"/>
  <c r="O334" i="1"/>
  <c r="M334" i="1"/>
  <c r="K334" i="1"/>
  <c r="S334" i="1" s="1"/>
  <c r="I334" i="1"/>
  <c r="Q333" i="1"/>
  <c r="O333" i="1"/>
  <c r="M333" i="1"/>
  <c r="K333" i="1"/>
  <c r="I333" i="1"/>
  <c r="S333" i="1" s="1"/>
  <c r="Q332" i="1"/>
  <c r="O332" i="1"/>
  <c r="S332" i="1" s="1"/>
  <c r="T332" i="1" s="1"/>
  <c r="M332" i="1"/>
  <c r="K332" i="1"/>
  <c r="I332" i="1"/>
  <c r="Q331" i="1"/>
  <c r="O331" i="1"/>
  <c r="M331" i="1"/>
  <c r="K331" i="1"/>
  <c r="I331" i="1"/>
  <c r="S331" i="1" s="1"/>
  <c r="S330" i="1"/>
  <c r="T330" i="1" s="1"/>
  <c r="Q330" i="1"/>
  <c r="O330" i="1"/>
  <c r="M330" i="1"/>
  <c r="K330" i="1"/>
  <c r="I330" i="1"/>
  <c r="Q329" i="1"/>
  <c r="O329" i="1"/>
  <c r="M329" i="1"/>
  <c r="K329" i="1"/>
  <c r="I329" i="1"/>
  <c r="S329" i="1" s="1"/>
  <c r="Q328" i="1"/>
  <c r="O328" i="1"/>
  <c r="M328" i="1"/>
  <c r="K328" i="1"/>
  <c r="I328" i="1"/>
  <c r="S328" i="1" s="1"/>
  <c r="Q327" i="1"/>
  <c r="T327" i="1" s="1"/>
  <c r="O327" i="1"/>
  <c r="M327" i="1"/>
  <c r="S327" i="1" s="1"/>
  <c r="K327" i="1"/>
  <c r="I327" i="1"/>
  <c r="Q326" i="1"/>
  <c r="O326" i="1"/>
  <c r="M326" i="1"/>
  <c r="K326" i="1"/>
  <c r="I326" i="1"/>
  <c r="Q325" i="1"/>
  <c r="T325" i="1" s="1"/>
  <c r="O325" i="1"/>
  <c r="M325" i="1"/>
  <c r="K325" i="1"/>
  <c r="S325" i="1" s="1"/>
  <c r="I325" i="1"/>
  <c r="Q324" i="1"/>
  <c r="O324" i="1"/>
  <c r="M324" i="1"/>
  <c r="K324" i="1"/>
  <c r="I324" i="1"/>
  <c r="S324" i="1" s="1"/>
  <c r="T323" i="1"/>
  <c r="Q323" i="1"/>
  <c r="O323" i="1"/>
  <c r="M323" i="1"/>
  <c r="K323" i="1"/>
  <c r="I323" i="1"/>
  <c r="S323" i="1" s="1"/>
  <c r="Q322" i="1"/>
  <c r="O322" i="1"/>
  <c r="M322" i="1"/>
  <c r="K322" i="1"/>
  <c r="S322" i="1" s="1"/>
  <c r="T322" i="1" s="1"/>
  <c r="I322" i="1"/>
  <c r="Q321" i="1"/>
  <c r="O321" i="1"/>
  <c r="M321" i="1"/>
  <c r="K321" i="1"/>
  <c r="I321" i="1"/>
  <c r="S321" i="1" s="1"/>
  <c r="Q320" i="1"/>
  <c r="O320" i="1"/>
  <c r="S320" i="1" s="1"/>
  <c r="T320" i="1" s="1"/>
  <c r="M320" i="1"/>
  <c r="K320" i="1"/>
  <c r="I320" i="1"/>
  <c r="Q319" i="1"/>
  <c r="O319" i="1"/>
  <c r="M319" i="1"/>
  <c r="K319" i="1"/>
  <c r="I319" i="1"/>
  <c r="S319" i="1" s="1"/>
  <c r="S318" i="1"/>
  <c r="T318" i="1" s="1"/>
  <c r="Q318" i="1"/>
  <c r="O318" i="1"/>
  <c r="M318" i="1"/>
  <c r="K318" i="1"/>
  <c r="I318" i="1"/>
  <c r="Q317" i="1"/>
  <c r="O317" i="1"/>
  <c r="M317" i="1"/>
  <c r="K317" i="1"/>
  <c r="I317" i="1"/>
  <c r="S317" i="1" s="1"/>
  <c r="Q316" i="1"/>
  <c r="T316" i="1" s="1"/>
  <c r="O316" i="1"/>
  <c r="M316" i="1"/>
  <c r="K316" i="1"/>
  <c r="I316" i="1"/>
  <c r="S316" i="1" s="1"/>
  <c r="Q315" i="1"/>
  <c r="O315" i="1"/>
  <c r="M315" i="1"/>
  <c r="S315" i="1" s="1"/>
  <c r="K315" i="1"/>
  <c r="I315" i="1"/>
  <c r="Q314" i="1"/>
  <c r="O314" i="1"/>
  <c r="M314" i="1"/>
  <c r="K314" i="1"/>
  <c r="I314" i="1"/>
  <c r="Q313" i="1"/>
  <c r="T313" i="1" s="1"/>
  <c r="O313" i="1"/>
  <c r="M313" i="1"/>
  <c r="K313" i="1"/>
  <c r="S313" i="1" s="1"/>
  <c r="I313" i="1"/>
  <c r="Q312" i="1"/>
  <c r="O312" i="1"/>
  <c r="M312" i="1"/>
  <c r="K312" i="1"/>
  <c r="I312" i="1"/>
  <c r="S312" i="1" s="1"/>
  <c r="T311" i="1"/>
  <c r="Q311" i="1"/>
  <c r="O311" i="1"/>
  <c r="M311" i="1"/>
  <c r="K311" i="1"/>
  <c r="I311" i="1"/>
  <c r="S311" i="1" s="1"/>
  <c r="Q310" i="1"/>
  <c r="O310" i="1"/>
  <c r="M310" i="1"/>
  <c r="K310" i="1"/>
  <c r="S310" i="1" s="1"/>
  <c r="T310" i="1" s="1"/>
  <c r="I310" i="1"/>
  <c r="Q309" i="1"/>
  <c r="O309" i="1"/>
  <c r="M309" i="1"/>
  <c r="K309" i="1"/>
  <c r="I309" i="1"/>
  <c r="Q308" i="1"/>
  <c r="O308" i="1"/>
  <c r="S308" i="1" s="1"/>
  <c r="T308" i="1" s="1"/>
  <c r="M308" i="1"/>
  <c r="K308" i="1"/>
  <c r="I308" i="1"/>
  <c r="Q307" i="1"/>
  <c r="O307" i="1"/>
  <c r="M307" i="1"/>
  <c r="K307" i="1"/>
  <c r="I307" i="1"/>
  <c r="S306" i="1"/>
  <c r="T306" i="1" s="1"/>
  <c r="Q306" i="1"/>
  <c r="O306" i="1"/>
  <c r="M306" i="1"/>
  <c r="K306" i="1"/>
  <c r="I306" i="1"/>
  <c r="S305" i="1"/>
  <c r="Q305" i="1"/>
  <c r="T305" i="1" s="1"/>
  <c r="O305" i="1"/>
  <c r="M305" i="1"/>
  <c r="K305" i="1"/>
  <c r="I305" i="1"/>
  <c r="Q304" i="1"/>
  <c r="O304" i="1"/>
  <c r="M304" i="1"/>
  <c r="K304" i="1"/>
  <c r="I304" i="1"/>
  <c r="S304" i="1" s="1"/>
  <c r="Q303" i="1"/>
  <c r="O303" i="1"/>
  <c r="M303" i="1"/>
  <c r="S303" i="1" s="1"/>
  <c r="K303" i="1"/>
  <c r="I303" i="1"/>
  <c r="Q302" i="1"/>
  <c r="O302" i="1"/>
  <c r="M302" i="1"/>
  <c r="K302" i="1"/>
  <c r="I302" i="1"/>
  <c r="Q301" i="1"/>
  <c r="T301" i="1" s="1"/>
  <c r="O301" i="1"/>
  <c r="M301" i="1"/>
  <c r="K301" i="1"/>
  <c r="S301" i="1" s="1"/>
  <c r="I301" i="1"/>
  <c r="Q300" i="1"/>
  <c r="O300" i="1"/>
  <c r="M300" i="1"/>
  <c r="K300" i="1"/>
  <c r="I300" i="1"/>
  <c r="S300" i="1" s="1"/>
  <c r="Q299" i="1"/>
  <c r="O299" i="1"/>
  <c r="M299" i="1"/>
  <c r="K299" i="1"/>
  <c r="I299" i="1"/>
  <c r="S299" i="1" s="1"/>
  <c r="T299" i="1" s="1"/>
  <c r="T298" i="1"/>
  <c r="Q298" i="1"/>
  <c r="O298" i="1"/>
  <c r="M298" i="1"/>
  <c r="K298" i="1"/>
  <c r="S298" i="1" s="1"/>
  <c r="I298" i="1"/>
  <c r="Q297" i="1"/>
  <c r="O297" i="1"/>
  <c r="M297" i="1"/>
  <c r="K297" i="1"/>
  <c r="I297" i="1"/>
  <c r="S297" i="1" s="1"/>
  <c r="Q296" i="1"/>
  <c r="O296" i="1"/>
  <c r="S296" i="1" s="1"/>
  <c r="T296" i="1" s="1"/>
  <c r="M296" i="1"/>
  <c r="K296" i="1"/>
  <c r="I296" i="1"/>
  <c r="Q295" i="1"/>
  <c r="O295" i="1"/>
  <c r="M295" i="1"/>
  <c r="K295" i="1"/>
  <c r="I295" i="1"/>
  <c r="S295" i="1" s="1"/>
  <c r="S294" i="1"/>
  <c r="T294" i="1" s="1"/>
  <c r="Q294" i="1"/>
  <c r="O294" i="1"/>
  <c r="M294" i="1"/>
  <c r="K294" i="1"/>
  <c r="I294" i="1"/>
  <c r="I292" i="1" s="1"/>
  <c r="S293" i="1"/>
  <c r="T293" i="1" s="1"/>
  <c r="Q291" i="1"/>
  <c r="O291" i="1"/>
  <c r="M291" i="1"/>
  <c r="K291" i="1"/>
  <c r="I291" i="1"/>
  <c r="S291" i="1" s="1"/>
  <c r="T291" i="1" s="1"/>
  <c r="Q290" i="1"/>
  <c r="T290" i="1" s="1"/>
  <c r="O290" i="1"/>
  <c r="M290" i="1"/>
  <c r="K290" i="1"/>
  <c r="S290" i="1" s="1"/>
  <c r="I290" i="1"/>
  <c r="Q289" i="1"/>
  <c r="T289" i="1" s="1"/>
  <c r="O289" i="1"/>
  <c r="M289" i="1"/>
  <c r="K289" i="1"/>
  <c r="I289" i="1"/>
  <c r="S289" i="1" s="1"/>
  <c r="Q288" i="1"/>
  <c r="O288" i="1"/>
  <c r="M288" i="1"/>
  <c r="K288" i="1"/>
  <c r="I288" i="1"/>
  <c r="S288" i="1" s="1"/>
  <c r="T288" i="1" s="1"/>
  <c r="T287" i="1"/>
  <c r="Q287" i="1"/>
  <c r="O287" i="1"/>
  <c r="M287" i="1"/>
  <c r="K287" i="1"/>
  <c r="S287" i="1" s="1"/>
  <c r="I287" i="1"/>
  <c r="Q286" i="1"/>
  <c r="O286" i="1"/>
  <c r="M286" i="1"/>
  <c r="K286" i="1"/>
  <c r="I286" i="1"/>
  <c r="S286" i="1" s="1"/>
  <c r="Q285" i="1"/>
  <c r="O285" i="1"/>
  <c r="S285" i="1" s="1"/>
  <c r="T285" i="1" s="1"/>
  <c r="M285" i="1"/>
  <c r="K285" i="1"/>
  <c r="I285" i="1"/>
  <c r="Q284" i="1"/>
  <c r="O284" i="1"/>
  <c r="M284" i="1"/>
  <c r="K284" i="1"/>
  <c r="I284" i="1"/>
  <c r="S284" i="1" s="1"/>
  <c r="S283" i="1"/>
  <c r="T283" i="1" s="1"/>
  <c r="Q283" i="1"/>
  <c r="O283" i="1"/>
  <c r="M283" i="1"/>
  <c r="K283" i="1"/>
  <c r="I283" i="1"/>
  <c r="Q282" i="1"/>
  <c r="O282" i="1"/>
  <c r="M282" i="1"/>
  <c r="K282" i="1"/>
  <c r="I282" i="1"/>
  <c r="S282" i="1" s="1"/>
  <c r="Q281" i="1"/>
  <c r="T281" i="1" s="1"/>
  <c r="O281" i="1"/>
  <c r="M281" i="1"/>
  <c r="K281" i="1"/>
  <c r="I281" i="1"/>
  <c r="S281" i="1" s="1"/>
  <c r="Q280" i="1"/>
  <c r="T280" i="1" s="1"/>
  <c r="O280" i="1"/>
  <c r="M280" i="1"/>
  <c r="S280" i="1" s="1"/>
  <c r="K280" i="1"/>
  <c r="I280" i="1"/>
  <c r="Q279" i="1"/>
  <c r="O279" i="1"/>
  <c r="M279" i="1"/>
  <c r="K279" i="1"/>
  <c r="I279" i="1"/>
  <c r="S279" i="1" s="1"/>
  <c r="T279" i="1" s="1"/>
  <c r="Q278" i="1"/>
  <c r="T278" i="1" s="1"/>
  <c r="O278" i="1"/>
  <c r="M278" i="1"/>
  <c r="K278" i="1"/>
  <c r="S278" i="1" s="1"/>
  <c r="I278" i="1"/>
  <c r="Q277" i="1"/>
  <c r="O277" i="1"/>
  <c r="M277" i="1"/>
  <c r="K277" i="1"/>
  <c r="I277" i="1"/>
  <c r="S277" i="1" s="1"/>
  <c r="T276" i="1"/>
  <c r="Q276" i="1"/>
  <c r="O276" i="1"/>
  <c r="M276" i="1"/>
  <c r="K276" i="1"/>
  <c r="I276" i="1"/>
  <c r="S276" i="1" s="1"/>
  <c r="Q275" i="1"/>
  <c r="O275" i="1"/>
  <c r="M275" i="1"/>
  <c r="K275" i="1"/>
  <c r="S275" i="1" s="1"/>
  <c r="T275" i="1" s="1"/>
  <c r="I275" i="1"/>
  <c r="Q274" i="1"/>
  <c r="T274" i="1" s="1"/>
  <c r="O274" i="1"/>
  <c r="M274" i="1"/>
  <c r="K274" i="1"/>
  <c r="I274" i="1"/>
  <c r="S274" i="1" s="1"/>
  <c r="Q273" i="1"/>
  <c r="O273" i="1"/>
  <c r="S273" i="1" s="1"/>
  <c r="T273" i="1" s="1"/>
  <c r="M273" i="1"/>
  <c r="K273" i="1"/>
  <c r="I273" i="1"/>
  <c r="Q272" i="1"/>
  <c r="O272" i="1"/>
  <c r="M272" i="1"/>
  <c r="K272" i="1"/>
  <c r="I272" i="1"/>
  <c r="S272" i="1" s="1"/>
  <c r="S271" i="1"/>
  <c r="T271" i="1" s="1"/>
  <c r="Q271" i="1"/>
  <c r="O271" i="1"/>
  <c r="M271" i="1"/>
  <c r="K271" i="1"/>
  <c r="I271" i="1"/>
  <c r="Q270" i="1"/>
  <c r="O270" i="1"/>
  <c r="M270" i="1"/>
  <c r="K270" i="1"/>
  <c r="I270" i="1"/>
  <c r="S270" i="1" s="1"/>
  <c r="Q269" i="1"/>
  <c r="T269" i="1" s="1"/>
  <c r="O269" i="1"/>
  <c r="M269" i="1"/>
  <c r="K269" i="1"/>
  <c r="I269" i="1"/>
  <c r="S269" i="1" s="1"/>
  <c r="Q268" i="1"/>
  <c r="O268" i="1"/>
  <c r="M268" i="1"/>
  <c r="S268" i="1" s="1"/>
  <c r="K268" i="1"/>
  <c r="I268" i="1"/>
  <c r="Q267" i="1"/>
  <c r="O267" i="1"/>
  <c r="M267" i="1"/>
  <c r="K267" i="1"/>
  <c r="I267" i="1"/>
  <c r="S267" i="1" s="1"/>
  <c r="T267" i="1" s="1"/>
  <c r="Q266" i="1"/>
  <c r="O266" i="1"/>
  <c r="M266" i="1"/>
  <c r="K266" i="1"/>
  <c r="S266" i="1" s="1"/>
  <c r="I266" i="1"/>
  <c r="Q265" i="1"/>
  <c r="T265" i="1" s="1"/>
  <c r="O265" i="1"/>
  <c r="M265" i="1"/>
  <c r="K265" i="1"/>
  <c r="I265" i="1"/>
  <c r="S265" i="1" s="1"/>
  <c r="Q264" i="1"/>
  <c r="O264" i="1"/>
  <c r="M264" i="1"/>
  <c r="K264" i="1"/>
  <c r="I264" i="1"/>
  <c r="S264" i="1" s="1"/>
  <c r="T264" i="1" s="1"/>
  <c r="Q263" i="1"/>
  <c r="O263" i="1"/>
  <c r="M263" i="1"/>
  <c r="K263" i="1"/>
  <c r="S263" i="1" s="1"/>
  <c r="T263" i="1" s="1"/>
  <c r="I263" i="1"/>
  <c r="Q262" i="1"/>
  <c r="O262" i="1"/>
  <c r="M262" i="1"/>
  <c r="K262" i="1"/>
  <c r="I262" i="1"/>
  <c r="S262" i="1" s="1"/>
  <c r="Q261" i="1"/>
  <c r="O261" i="1"/>
  <c r="S261" i="1" s="1"/>
  <c r="T261" i="1" s="1"/>
  <c r="M261" i="1"/>
  <c r="K261" i="1"/>
  <c r="I261" i="1"/>
  <c r="Q260" i="1"/>
  <c r="T260" i="1" s="1"/>
  <c r="O260" i="1"/>
  <c r="M260" i="1"/>
  <c r="K260" i="1"/>
  <c r="I260" i="1"/>
  <c r="S260" i="1" s="1"/>
  <c r="S259" i="1"/>
  <c r="T259" i="1" s="1"/>
  <c r="Q259" i="1"/>
  <c r="O259" i="1"/>
  <c r="M259" i="1"/>
  <c r="K259" i="1"/>
  <c r="I259" i="1"/>
  <c r="S258" i="1"/>
  <c r="Q258" i="1"/>
  <c r="T258" i="1" s="1"/>
  <c r="O258" i="1"/>
  <c r="M258" i="1"/>
  <c r="K258" i="1"/>
  <c r="I258" i="1"/>
  <c r="Q257" i="1"/>
  <c r="O257" i="1"/>
  <c r="M257" i="1"/>
  <c r="K257" i="1"/>
  <c r="I257" i="1"/>
  <c r="S257" i="1" s="1"/>
  <c r="Q256" i="1"/>
  <c r="O256" i="1"/>
  <c r="M256" i="1"/>
  <c r="S256" i="1" s="1"/>
  <c r="K256" i="1"/>
  <c r="I256" i="1"/>
  <c r="Q255" i="1"/>
  <c r="O255" i="1"/>
  <c r="M255" i="1"/>
  <c r="K255" i="1"/>
  <c r="I255" i="1"/>
  <c r="S255" i="1" s="1"/>
  <c r="T255" i="1" s="1"/>
  <c r="Q254" i="1"/>
  <c r="T254" i="1" s="1"/>
  <c r="O254" i="1"/>
  <c r="M254" i="1"/>
  <c r="K254" i="1"/>
  <c r="S254" i="1" s="1"/>
  <c r="I254" i="1"/>
  <c r="Q253" i="1"/>
  <c r="T253" i="1" s="1"/>
  <c r="O253" i="1"/>
  <c r="M253" i="1"/>
  <c r="K253" i="1"/>
  <c r="I253" i="1"/>
  <c r="S253" i="1" s="1"/>
  <c r="Q252" i="1"/>
  <c r="O252" i="1"/>
  <c r="M252" i="1"/>
  <c r="K252" i="1"/>
  <c r="I252" i="1"/>
  <c r="S252" i="1" s="1"/>
  <c r="T252" i="1" s="1"/>
  <c r="T251" i="1"/>
  <c r="Q251" i="1"/>
  <c r="O251" i="1"/>
  <c r="M251" i="1"/>
  <c r="K251" i="1"/>
  <c r="S251" i="1" s="1"/>
  <c r="I251" i="1"/>
  <c r="Q250" i="1"/>
  <c r="O250" i="1"/>
  <c r="M250" i="1"/>
  <c r="K250" i="1"/>
  <c r="I250" i="1"/>
  <c r="S250" i="1" s="1"/>
  <c r="Q249" i="1"/>
  <c r="O249" i="1"/>
  <c r="S249" i="1" s="1"/>
  <c r="T249" i="1" s="1"/>
  <c r="M249" i="1"/>
  <c r="K249" i="1"/>
  <c r="I249" i="1"/>
  <c r="Q248" i="1"/>
  <c r="O248" i="1"/>
  <c r="M248" i="1"/>
  <c r="K248" i="1"/>
  <c r="I248" i="1"/>
  <c r="S248" i="1" s="1"/>
  <c r="S247" i="1"/>
  <c r="T247" i="1" s="1"/>
  <c r="Q247" i="1"/>
  <c r="O247" i="1"/>
  <c r="M247" i="1"/>
  <c r="K247" i="1"/>
  <c r="I247" i="1"/>
  <c r="Q246" i="1"/>
  <c r="O246" i="1"/>
  <c r="M246" i="1"/>
  <c r="K246" i="1"/>
  <c r="I246" i="1"/>
  <c r="S246" i="1" s="1"/>
  <c r="Q245" i="1"/>
  <c r="T245" i="1" s="1"/>
  <c r="O245" i="1"/>
  <c r="M245" i="1"/>
  <c r="K245" i="1"/>
  <c r="I245" i="1"/>
  <c r="S245" i="1" s="1"/>
  <c r="Q244" i="1"/>
  <c r="T244" i="1" s="1"/>
  <c r="O244" i="1"/>
  <c r="M244" i="1"/>
  <c r="S244" i="1" s="1"/>
  <c r="K244" i="1"/>
  <c r="I244" i="1"/>
  <c r="Q243" i="1"/>
  <c r="O243" i="1"/>
  <c r="M243" i="1"/>
  <c r="K243" i="1"/>
  <c r="I243" i="1"/>
  <c r="S243" i="1" s="1"/>
  <c r="T243" i="1" s="1"/>
  <c r="Q242" i="1"/>
  <c r="T242" i="1" s="1"/>
  <c r="O242" i="1"/>
  <c r="M242" i="1"/>
  <c r="K242" i="1"/>
  <c r="S242" i="1" s="1"/>
  <c r="I242" i="1"/>
  <c r="Q241" i="1"/>
  <c r="O241" i="1"/>
  <c r="M241" i="1"/>
  <c r="K241" i="1"/>
  <c r="I241" i="1"/>
  <c r="S241" i="1" s="1"/>
  <c r="T240" i="1"/>
  <c r="Q240" i="1"/>
  <c r="O240" i="1"/>
  <c r="M240" i="1"/>
  <c r="K240" i="1"/>
  <c r="I240" i="1"/>
  <c r="S240" i="1" s="1"/>
  <c r="Q239" i="1"/>
  <c r="O239" i="1"/>
  <c r="M239" i="1"/>
  <c r="K239" i="1"/>
  <c r="S239" i="1" s="1"/>
  <c r="T239" i="1" s="1"/>
  <c r="I239" i="1"/>
  <c r="Q238" i="1"/>
  <c r="T238" i="1" s="1"/>
  <c r="O238" i="1"/>
  <c r="M238" i="1"/>
  <c r="K238" i="1"/>
  <c r="I238" i="1"/>
  <c r="S238" i="1" s="1"/>
  <c r="Q237" i="1"/>
  <c r="O237" i="1"/>
  <c r="S237" i="1" s="1"/>
  <c r="T237" i="1" s="1"/>
  <c r="M237" i="1"/>
  <c r="K237" i="1"/>
  <c r="I237" i="1"/>
  <c r="Q236" i="1"/>
  <c r="O236" i="1"/>
  <c r="M236" i="1"/>
  <c r="K236" i="1"/>
  <c r="I236" i="1"/>
  <c r="S236" i="1" s="1"/>
  <c r="S235" i="1"/>
  <c r="T235" i="1" s="1"/>
  <c r="Q235" i="1"/>
  <c r="O235" i="1"/>
  <c r="M235" i="1"/>
  <c r="K235" i="1"/>
  <c r="I235" i="1"/>
  <c r="Q234" i="1"/>
  <c r="O234" i="1"/>
  <c r="M234" i="1"/>
  <c r="K234" i="1"/>
  <c r="I234" i="1"/>
  <c r="S234" i="1" s="1"/>
  <c r="T234" i="1" s="1"/>
  <c r="Q233" i="1"/>
  <c r="O233" i="1"/>
  <c r="M233" i="1"/>
  <c r="K233" i="1"/>
  <c r="I233" i="1"/>
  <c r="Q232" i="1"/>
  <c r="O232" i="1"/>
  <c r="M232" i="1"/>
  <c r="S232" i="1" s="1"/>
  <c r="K232" i="1"/>
  <c r="I232" i="1"/>
  <c r="Q231" i="1"/>
  <c r="O231" i="1"/>
  <c r="M231" i="1"/>
  <c r="K231" i="1"/>
  <c r="I231" i="1"/>
  <c r="Q230" i="1"/>
  <c r="O230" i="1"/>
  <c r="M230" i="1"/>
  <c r="K230" i="1"/>
  <c r="S230" i="1" s="1"/>
  <c r="I230" i="1"/>
  <c r="S229" i="1"/>
  <c r="Q229" i="1"/>
  <c r="T229" i="1" s="1"/>
  <c r="O229" i="1"/>
  <c r="M229" i="1"/>
  <c r="K229" i="1"/>
  <c r="I229" i="1"/>
  <c r="Q228" i="1"/>
  <c r="O228" i="1"/>
  <c r="M228" i="1"/>
  <c r="K228" i="1"/>
  <c r="I228" i="1"/>
  <c r="S228" i="1" s="1"/>
  <c r="T228" i="1" s="1"/>
  <c r="T227" i="1"/>
  <c r="Q227" i="1"/>
  <c r="O227" i="1"/>
  <c r="M227" i="1"/>
  <c r="K227" i="1"/>
  <c r="S227" i="1" s="1"/>
  <c r="I227" i="1"/>
  <c r="Q226" i="1"/>
  <c r="O226" i="1"/>
  <c r="M226" i="1"/>
  <c r="K226" i="1"/>
  <c r="I226" i="1"/>
  <c r="S226" i="1" s="1"/>
  <c r="Q225" i="1"/>
  <c r="O225" i="1"/>
  <c r="S225" i="1" s="1"/>
  <c r="T225" i="1" s="1"/>
  <c r="M225" i="1"/>
  <c r="K225" i="1"/>
  <c r="I225" i="1"/>
  <c r="Q224" i="1"/>
  <c r="O224" i="1"/>
  <c r="M224" i="1"/>
  <c r="K224" i="1"/>
  <c r="I224" i="1"/>
  <c r="S223" i="1"/>
  <c r="T223" i="1" s="1"/>
  <c r="Q223" i="1"/>
  <c r="O223" i="1"/>
  <c r="M223" i="1"/>
  <c r="K223" i="1"/>
  <c r="I223" i="1"/>
  <c r="Q222" i="1"/>
  <c r="O222" i="1"/>
  <c r="M222" i="1"/>
  <c r="K222" i="1"/>
  <c r="I222" i="1"/>
  <c r="S222" i="1" s="1"/>
  <c r="T222" i="1" s="1"/>
  <c r="Q221" i="1"/>
  <c r="O221" i="1"/>
  <c r="M221" i="1"/>
  <c r="K221" i="1"/>
  <c r="I221" i="1"/>
  <c r="Q220" i="1"/>
  <c r="T220" i="1" s="1"/>
  <c r="O220" i="1"/>
  <c r="M220" i="1"/>
  <c r="S220" i="1" s="1"/>
  <c r="K220" i="1"/>
  <c r="I220" i="1"/>
  <c r="Q219" i="1"/>
  <c r="O219" i="1"/>
  <c r="M219" i="1"/>
  <c r="K219" i="1"/>
  <c r="I219" i="1"/>
  <c r="Q218" i="1"/>
  <c r="T218" i="1" s="1"/>
  <c r="O218" i="1"/>
  <c r="M218" i="1"/>
  <c r="K218" i="1"/>
  <c r="S218" i="1" s="1"/>
  <c r="I218" i="1"/>
  <c r="S217" i="1"/>
  <c r="Q217" i="1"/>
  <c r="O217" i="1"/>
  <c r="M217" i="1"/>
  <c r="K217" i="1"/>
  <c r="I217" i="1"/>
  <c r="Q216" i="1"/>
  <c r="O216" i="1"/>
  <c r="M216" i="1"/>
  <c r="K216" i="1"/>
  <c r="I216" i="1"/>
  <c r="S216" i="1" s="1"/>
  <c r="T216" i="1" s="1"/>
  <c r="Q215" i="1"/>
  <c r="O215" i="1"/>
  <c r="M215" i="1"/>
  <c r="K215" i="1"/>
  <c r="S215" i="1" s="1"/>
  <c r="T215" i="1" s="1"/>
  <c r="I215" i="1"/>
  <c r="Q214" i="1"/>
  <c r="O214" i="1"/>
  <c r="M214" i="1"/>
  <c r="K214" i="1"/>
  <c r="I214" i="1"/>
  <c r="Q213" i="1"/>
  <c r="O213" i="1"/>
  <c r="S213" i="1" s="1"/>
  <c r="T213" i="1" s="1"/>
  <c r="M213" i="1"/>
  <c r="K213" i="1"/>
  <c r="I213" i="1"/>
  <c r="Q212" i="1"/>
  <c r="O212" i="1"/>
  <c r="M212" i="1"/>
  <c r="K212" i="1"/>
  <c r="I212" i="1"/>
  <c r="S211" i="1"/>
  <c r="T211" i="1" s="1"/>
  <c r="Q211" i="1"/>
  <c r="O211" i="1"/>
  <c r="M211" i="1"/>
  <c r="K211" i="1"/>
  <c r="I211" i="1"/>
  <c r="Q210" i="1"/>
  <c r="O210" i="1"/>
  <c r="M210" i="1"/>
  <c r="K210" i="1"/>
  <c r="I210" i="1"/>
  <c r="S210" i="1" s="1"/>
  <c r="T210" i="1" s="1"/>
  <c r="Q209" i="1"/>
  <c r="O209" i="1"/>
  <c r="M209" i="1"/>
  <c r="K209" i="1"/>
  <c r="I209" i="1"/>
  <c r="Q208" i="1"/>
  <c r="O208" i="1"/>
  <c r="M208" i="1"/>
  <c r="S208" i="1" s="1"/>
  <c r="K208" i="1"/>
  <c r="I208" i="1"/>
  <c r="Q207" i="1"/>
  <c r="O207" i="1"/>
  <c r="M207" i="1"/>
  <c r="K207" i="1"/>
  <c r="I207" i="1"/>
  <c r="Q206" i="1"/>
  <c r="O206" i="1"/>
  <c r="M206" i="1"/>
  <c r="K206" i="1"/>
  <c r="S206" i="1" s="1"/>
  <c r="I206" i="1"/>
  <c r="S205" i="1"/>
  <c r="Q205" i="1"/>
  <c r="T205" i="1" s="1"/>
  <c r="O205" i="1"/>
  <c r="M205" i="1"/>
  <c r="K205" i="1"/>
  <c r="I205" i="1"/>
  <c r="Q204" i="1"/>
  <c r="O204" i="1"/>
  <c r="M204" i="1"/>
  <c r="K204" i="1"/>
  <c r="I204" i="1"/>
  <c r="S204" i="1" s="1"/>
  <c r="T204" i="1" s="1"/>
  <c r="T203" i="1"/>
  <c r="Q203" i="1"/>
  <c r="O203" i="1"/>
  <c r="M203" i="1"/>
  <c r="K203" i="1"/>
  <c r="S203" i="1" s="1"/>
  <c r="I203" i="1"/>
  <c r="Q202" i="1"/>
  <c r="O202" i="1"/>
  <c r="M202" i="1"/>
  <c r="K202" i="1"/>
  <c r="I202" i="1"/>
  <c r="S202" i="1" s="1"/>
  <c r="Q201" i="1"/>
  <c r="O201" i="1"/>
  <c r="S201" i="1" s="1"/>
  <c r="T201" i="1" s="1"/>
  <c r="M201" i="1"/>
  <c r="K201" i="1"/>
  <c r="I201" i="1"/>
  <c r="Q200" i="1"/>
  <c r="O200" i="1"/>
  <c r="M200" i="1"/>
  <c r="K200" i="1"/>
  <c r="I200" i="1"/>
  <c r="S199" i="1"/>
  <c r="T199" i="1" s="1"/>
  <c r="Q199" i="1"/>
  <c r="O199" i="1"/>
  <c r="M199" i="1"/>
  <c r="K199" i="1"/>
  <c r="I199" i="1"/>
  <c r="Q198" i="1"/>
  <c r="O198" i="1"/>
  <c r="M198" i="1"/>
  <c r="K198" i="1"/>
  <c r="I198" i="1"/>
  <c r="S198" i="1" s="1"/>
  <c r="T198" i="1" s="1"/>
  <c r="Q197" i="1"/>
  <c r="O197" i="1"/>
  <c r="M197" i="1"/>
  <c r="K197" i="1"/>
  <c r="I197" i="1"/>
  <c r="Q196" i="1"/>
  <c r="T196" i="1" s="1"/>
  <c r="O196" i="1"/>
  <c r="M196" i="1"/>
  <c r="S196" i="1" s="1"/>
  <c r="K196" i="1"/>
  <c r="I196" i="1"/>
  <c r="Q195" i="1"/>
  <c r="O195" i="1"/>
  <c r="M195" i="1"/>
  <c r="K195" i="1"/>
  <c r="I195" i="1"/>
  <c r="Q194" i="1"/>
  <c r="T194" i="1" s="1"/>
  <c r="O194" i="1"/>
  <c r="M194" i="1"/>
  <c r="K194" i="1"/>
  <c r="S194" i="1" s="1"/>
  <c r="I194" i="1"/>
  <c r="S193" i="1"/>
  <c r="Q193" i="1"/>
  <c r="O193" i="1"/>
  <c r="M193" i="1"/>
  <c r="K193" i="1"/>
  <c r="I193" i="1"/>
  <c r="Q192" i="1"/>
  <c r="O192" i="1"/>
  <c r="M192" i="1"/>
  <c r="K192" i="1"/>
  <c r="I192" i="1"/>
  <c r="S192" i="1" s="1"/>
  <c r="T192" i="1" s="1"/>
  <c r="Q191" i="1"/>
  <c r="O191" i="1"/>
  <c r="M191" i="1"/>
  <c r="K191" i="1"/>
  <c r="S191" i="1" s="1"/>
  <c r="T191" i="1" s="1"/>
  <c r="I191" i="1"/>
  <c r="Q190" i="1"/>
  <c r="O190" i="1"/>
  <c r="M190" i="1"/>
  <c r="K190" i="1"/>
  <c r="I190" i="1"/>
  <c r="Q189" i="1"/>
  <c r="O189" i="1"/>
  <c r="S189" i="1" s="1"/>
  <c r="T189" i="1" s="1"/>
  <c r="M189" i="1"/>
  <c r="K189" i="1"/>
  <c r="I189" i="1"/>
  <c r="Q188" i="1"/>
  <c r="O188" i="1"/>
  <c r="M188" i="1"/>
  <c r="K188" i="1"/>
  <c r="I188" i="1"/>
  <c r="S187" i="1"/>
  <c r="T187" i="1" s="1"/>
  <c r="Q187" i="1"/>
  <c r="O187" i="1"/>
  <c r="M187" i="1"/>
  <c r="K187" i="1"/>
  <c r="I187" i="1"/>
  <c r="Q186" i="1"/>
  <c r="O186" i="1"/>
  <c r="M186" i="1"/>
  <c r="K186" i="1"/>
  <c r="I186" i="1"/>
  <c r="S186" i="1" s="1"/>
  <c r="T186" i="1" s="1"/>
  <c r="Q185" i="1"/>
  <c r="O185" i="1"/>
  <c r="M185" i="1"/>
  <c r="K185" i="1"/>
  <c r="I185" i="1"/>
  <c r="Q184" i="1"/>
  <c r="O184" i="1"/>
  <c r="M184" i="1"/>
  <c r="S184" i="1" s="1"/>
  <c r="K184" i="1"/>
  <c r="I184" i="1"/>
  <c r="Q183" i="1"/>
  <c r="O183" i="1"/>
  <c r="M183" i="1"/>
  <c r="K183" i="1"/>
  <c r="I183" i="1"/>
  <c r="Q182" i="1"/>
  <c r="O182" i="1"/>
  <c r="M182" i="1"/>
  <c r="K182" i="1"/>
  <c r="S182" i="1" s="1"/>
  <c r="I182" i="1"/>
  <c r="S181" i="1"/>
  <c r="Q181" i="1"/>
  <c r="T181" i="1" s="1"/>
  <c r="O181" i="1"/>
  <c r="M181" i="1"/>
  <c r="K181" i="1"/>
  <c r="I181" i="1"/>
  <c r="Q180" i="1"/>
  <c r="O180" i="1"/>
  <c r="M180" i="1"/>
  <c r="K180" i="1"/>
  <c r="I180" i="1"/>
  <c r="S180" i="1" s="1"/>
  <c r="T180" i="1" s="1"/>
  <c r="T179" i="1"/>
  <c r="Q179" i="1"/>
  <c r="O179" i="1"/>
  <c r="M179" i="1"/>
  <c r="K179" i="1"/>
  <c r="S179" i="1" s="1"/>
  <c r="I179" i="1"/>
  <c r="Q178" i="1"/>
  <c r="O178" i="1"/>
  <c r="M178" i="1"/>
  <c r="K178" i="1"/>
  <c r="I178" i="1"/>
  <c r="S178" i="1" s="1"/>
  <c r="Q177" i="1"/>
  <c r="O177" i="1"/>
  <c r="S177" i="1" s="1"/>
  <c r="T177" i="1" s="1"/>
  <c r="M177" i="1"/>
  <c r="K177" i="1"/>
  <c r="I177" i="1"/>
  <c r="Q176" i="1"/>
  <c r="O176" i="1"/>
  <c r="M176" i="1"/>
  <c r="K176" i="1"/>
  <c r="I176" i="1"/>
  <c r="S175" i="1"/>
  <c r="T175" i="1" s="1"/>
  <c r="Q175" i="1"/>
  <c r="O175" i="1"/>
  <c r="M175" i="1"/>
  <c r="K175" i="1"/>
  <c r="I175" i="1"/>
  <c r="Q174" i="1"/>
  <c r="O174" i="1"/>
  <c r="M174" i="1"/>
  <c r="K174" i="1"/>
  <c r="I174" i="1"/>
  <c r="S174" i="1" s="1"/>
  <c r="T174" i="1" s="1"/>
  <c r="Q173" i="1"/>
  <c r="O173" i="1"/>
  <c r="M173" i="1"/>
  <c r="K173" i="1"/>
  <c r="I173" i="1"/>
  <c r="Q172" i="1"/>
  <c r="T172" i="1" s="1"/>
  <c r="O172" i="1"/>
  <c r="M172" i="1"/>
  <c r="S172" i="1" s="1"/>
  <c r="K172" i="1"/>
  <c r="I172" i="1"/>
  <c r="Q171" i="1"/>
  <c r="O171" i="1"/>
  <c r="M171" i="1"/>
  <c r="K171" i="1"/>
  <c r="I171" i="1"/>
  <c r="Q170" i="1"/>
  <c r="T170" i="1" s="1"/>
  <c r="O170" i="1"/>
  <c r="M170" i="1"/>
  <c r="K170" i="1"/>
  <c r="S170" i="1" s="1"/>
  <c r="I170" i="1"/>
  <c r="S169" i="1"/>
  <c r="Q169" i="1"/>
  <c r="O169" i="1"/>
  <c r="M169" i="1"/>
  <c r="K169" i="1"/>
  <c r="I169" i="1"/>
  <c r="Q168" i="1"/>
  <c r="O168" i="1"/>
  <c r="M168" i="1"/>
  <c r="K168" i="1"/>
  <c r="I168" i="1"/>
  <c r="S168" i="1" s="1"/>
  <c r="T168" i="1" s="1"/>
  <c r="Q167" i="1"/>
  <c r="O167" i="1"/>
  <c r="M167" i="1"/>
  <c r="K167" i="1"/>
  <c r="S167" i="1" s="1"/>
  <c r="T167" i="1" s="1"/>
  <c r="I167" i="1"/>
  <c r="Q166" i="1"/>
  <c r="O166" i="1"/>
  <c r="M166" i="1"/>
  <c r="K166" i="1"/>
  <c r="I166" i="1"/>
  <c r="T165" i="1"/>
  <c r="S165" i="1"/>
  <c r="Q165" i="1"/>
  <c r="O165" i="1"/>
  <c r="M165" i="1"/>
  <c r="K165" i="1"/>
  <c r="I165" i="1"/>
  <c r="Q164" i="1"/>
  <c r="O164" i="1"/>
  <c r="M164" i="1"/>
  <c r="K164" i="1"/>
  <c r="I164" i="1"/>
  <c r="S163" i="1"/>
  <c r="T163" i="1" s="1"/>
  <c r="Q163" i="1"/>
  <c r="O163" i="1"/>
  <c r="M163" i="1"/>
  <c r="K163" i="1"/>
  <c r="I163" i="1"/>
  <c r="Q162" i="1"/>
  <c r="O162" i="1"/>
  <c r="M162" i="1"/>
  <c r="K162" i="1"/>
  <c r="I162" i="1"/>
  <c r="S162" i="1" s="1"/>
  <c r="T162" i="1" s="1"/>
  <c r="Q161" i="1"/>
  <c r="O161" i="1"/>
  <c r="M161" i="1"/>
  <c r="K161" i="1"/>
  <c r="I161" i="1"/>
  <c r="S161" i="1" s="1"/>
  <c r="S160" i="1"/>
  <c r="Q160" i="1"/>
  <c r="O160" i="1"/>
  <c r="M160" i="1"/>
  <c r="K160" i="1"/>
  <c r="I160" i="1"/>
  <c r="Q159" i="1"/>
  <c r="O159" i="1"/>
  <c r="M159" i="1"/>
  <c r="K159" i="1"/>
  <c r="I159" i="1"/>
  <c r="S159" i="1" s="1"/>
  <c r="T159" i="1" s="1"/>
  <c r="Q158" i="1"/>
  <c r="T158" i="1" s="1"/>
  <c r="O158" i="1"/>
  <c r="M158" i="1"/>
  <c r="K158" i="1"/>
  <c r="S158" i="1" s="1"/>
  <c r="I158" i="1"/>
  <c r="S157" i="1"/>
  <c r="Q157" i="1"/>
  <c r="T157" i="1" s="1"/>
  <c r="O157" i="1"/>
  <c r="M157" i="1"/>
  <c r="K157" i="1"/>
  <c r="I157" i="1"/>
  <c r="Q156" i="1"/>
  <c r="O156" i="1"/>
  <c r="M156" i="1"/>
  <c r="K156" i="1"/>
  <c r="I156" i="1"/>
  <c r="S156" i="1" s="1"/>
  <c r="T156" i="1" s="1"/>
  <c r="Q155" i="1"/>
  <c r="O155" i="1"/>
  <c r="M155" i="1"/>
  <c r="K155" i="1"/>
  <c r="I155" i="1"/>
  <c r="Q154" i="1"/>
  <c r="O154" i="1"/>
  <c r="M154" i="1"/>
  <c r="K154" i="1"/>
  <c r="I154" i="1"/>
  <c r="Q153" i="1"/>
  <c r="O153" i="1"/>
  <c r="S153" i="1" s="1"/>
  <c r="T153" i="1" s="1"/>
  <c r="M153" i="1"/>
  <c r="K153" i="1"/>
  <c r="I153" i="1"/>
  <c r="Q152" i="1"/>
  <c r="O152" i="1"/>
  <c r="M152" i="1"/>
  <c r="K152" i="1"/>
  <c r="I152" i="1"/>
  <c r="S151" i="1"/>
  <c r="T151" i="1" s="1"/>
  <c r="Q151" i="1"/>
  <c r="O151" i="1"/>
  <c r="M151" i="1"/>
  <c r="K151" i="1"/>
  <c r="I151" i="1"/>
  <c r="Q150" i="1"/>
  <c r="O150" i="1"/>
  <c r="M150" i="1"/>
  <c r="K150" i="1"/>
  <c r="I150" i="1"/>
  <c r="S150" i="1" s="1"/>
  <c r="T150" i="1" s="1"/>
  <c r="Q149" i="1"/>
  <c r="O149" i="1"/>
  <c r="M149" i="1"/>
  <c r="K149" i="1"/>
  <c r="I149" i="1"/>
  <c r="S148" i="1"/>
  <c r="Q148" i="1"/>
  <c r="T148" i="1" s="1"/>
  <c r="O148" i="1"/>
  <c r="M148" i="1"/>
  <c r="K148" i="1"/>
  <c r="I148" i="1"/>
  <c r="Q147" i="1"/>
  <c r="O147" i="1"/>
  <c r="M147" i="1"/>
  <c r="K147" i="1"/>
  <c r="I147" i="1"/>
  <c r="Q146" i="1"/>
  <c r="T146" i="1" s="1"/>
  <c r="O146" i="1"/>
  <c r="M146" i="1"/>
  <c r="K146" i="1"/>
  <c r="S146" i="1" s="1"/>
  <c r="I146" i="1"/>
  <c r="S145" i="1"/>
  <c r="Q145" i="1"/>
  <c r="T145" i="1" s="1"/>
  <c r="O145" i="1"/>
  <c r="M145" i="1"/>
  <c r="K145" i="1"/>
  <c r="I145" i="1"/>
  <c r="Q144" i="1"/>
  <c r="O144" i="1"/>
  <c r="M144" i="1"/>
  <c r="K144" i="1"/>
  <c r="I144" i="1"/>
  <c r="S144" i="1" s="1"/>
  <c r="T144" i="1" s="1"/>
  <c r="Q143" i="1"/>
  <c r="T143" i="1" s="1"/>
  <c r="O143" i="1"/>
  <c r="M143" i="1"/>
  <c r="K143" i="1"/>
  <c r="S143" i="1" s="1"/>
  <c r="I143" i="1"/>
  <c r="Q142" i="1"/>
  <c r="O142" i="1"/>
  <c r="M142" i="1"/>
  <c r="K142" i="1"/>
  <c r="I142" i="1"/>
  <c r="T141" i="1"/>
  <c r="S141" i="1"/>
  <c r="Q141" i="1"/>
  <c r="O141" i="1"/>
  <c r="M141" i="1"/>
  <c r="K141" i="1"/>
  <c r="I141" i="1"/>
  <c r="Q140" i="1"/>
  <c r="O140" i="1"/>
  <c r="M140" i="1"/>
  <c r="K140" i="1"/>
  <c r="I140" i="1"/>
  <c r="S139" i="1"/>
  <c r="T139" i="1" s="1"/>
  <c r="Q139" i="1"/>
  <c r="O139" i="1"/>
  <c r="M139" i="1"/>
  <c r="K139" i="1"/>
  <c r="I139" i="1"/>
  <c r="Q138" i="1"/>
  <c r="O138" i="1"/>
  <c r="M138" i="1"/>
  <c r="K138" i="1"/>
  <c r="I138" i="1"/>
  <c r="S138" i="1" s="1"/>
  <c r="Q137" i="1"/>
  <c r="O137" i="1"/>
  <c r="M137" i="1"/>
  <c r="K137" i="1"/>
  <c r="I137" i="1"/>
  <c r="Q136" i="1"/>
  <c r="O136" i="1"/>
  <c r="M136" i="1"/>
  <c r="S136" i="1" s="1"/>
  <c r="K136" i="1"/>
  <c r="I136" i="1"/>
  <c r="Q135" i="1"/>
  <c r="O135" i="1"/>
  <c r="M135" i="1"/>
  <c r="K135" i="1"/>
  <c r="I135" i="1"/>
  <c r="Q134" i="1"/>
  <c r="O134" i="1"/>
  <c r="M134" i="1"/>
  <c r="K134" i="1"/>
  <c r="S134" i="1" s="1"/>
  <c r="T134" i="1" s="1"/>
  <c r="I134" i="1"/>
  <c r="Q133" i="1"/>
  <c r="O133" i="1"/>
  <c r="S133" i="1" s="1"/>
  <c r="M133" i="1"/>
  <c r="K133" i="1"/>
  <c r="I133" i="1"/>
  <c r="Q132" i="1"/>
  <c r="O132" i="1"/>
  <c r="M132" i="1"/>
  <c r="K132" i="1"/>
  <c r="I132" i="1"/>
  <c r="S132" i="1" s="1"/>
  <c r="T132" i="1" s="1"/>
  <c r="S131" i="1"/>
  <c r="Q131" i="1"/>
  <c r="T131" i="1" s="1"/>
  <c r="O131" i="1"/>
  <c r="M131" i="1"/>
  <c r="K131" i="1"/>
  <c r="I131" i="1"/>
  <c r="Q130" i="1"/>
  <c r="O130" i="1"/>
  <c r="M130" i="1"/>
  <c r="K130" i="1"/>
  <c r="I130" i="1"/>
  <c r="T129" i="1"/>
  <c r="S129" i="1"/>
  <c r="Q129" i="1"/>
  <c r="O129" i="1"/>
  <c r="M129" i="1"/>
  <c r="K129" i="1"/>
  <c r="I129" i="1"/>
  <c r="Q128" i="1"/>
  <c r="O128" i="1"/>
  <c r="M128" i="1"/>
  <c r="K128" i="1"/>
  <c r="I128" i="1"/>
  <c r="S127" i="1"/>
  <c r="T127" i="1" s="1"/>
  <c r="Q127" i="1"/>
  <c r="O127" i="1"/>
  <c r="M127" i="1"/>
  <c r="K127" i="1"/>
  <c r="I127" i="1"/>
  <c r="Q126" i="1"/>
  <c r="T126" i="1" s="1"/>
  <c r="O126" i="1"/>
  <c r="M126" i="1"/>
  <c r="K126" i="1"/>
  <c r="I126" i="1"/>
  <c r="S126" i="1" s="1"/>
  <c r="Q125" i="1"/>
  <c r="O125" i="1"/>
  <c r="M125" i="1"/>
  <c r="K125" i="1"/>
  <c r="I125" i="1"/>
  <c r="Q124" i="1"/>
  <c r="O124" i="1"/>
  <c r="M124" i="1"/>
  <c r="S124" i="1" s="1"/>
  <c r="K124" i="1"/>
  <c r="I124" i="1"/>
  <c r="Q123" i="1"/>
  <c r="O123" i="1"/>
  <c r="M123" i="1"/>
  <c r="K123" i="1"/>
  <c r="I123" i="1"/>
  <c r="Q122" i="1"/>
  <c r="O122" i="1"/>
  <c r="M122" i="1"/>
  <c r="K122" i="1"/>
  <c r="S122" i="1" s="1"/>
  <c r="T122" i="1" s="1"/>
  <c r="I122" i="1"/>
  <c r="Q121" i="1"/>
  <c r="O121" i="1"/>
  <c r="S121" i="1" s="1"/>
  <c r="M121" i="1"/>
  <c r="K121" i="1"/>
  <c r="I121" i="1"/>
  <c r="Q120" i="1"/>
  <c r="O120" i="1"/>
  <c r="M120" i="1"/>
  <c r="K120" i="1"/>
  <c r="I120" i="1"/>
  <c r="S120" i="1" s="1"/>
  <c r="T120" i="1" s="1"/>
  <c r="S119" i="1"/>
  <c r="Q119" i="1"/>
  <c r="T119" i="1" s="1"/>
  <c r="O119" i="1"/>
  <c r="M119" i="1"/>
  <c r="K119" i="1"/>
  <c r="I119" i="1"/>
  <c r="Q118" i="1"/>
  <c r="O118" i="1"/>
  <c r="M118" i="1"/>
  <c r="K118" i="1"/>
  <c r="I118" i="1"/>
  <c r="T117" i="1"/>
  <c r="S117" i="1"/>
  <c r="Q117" i="1"/>
  <c r="O117" i="1"/>
  <c r="M117" i="1"/>
  <c r="K117" i="1"/>
  <c r="I117" i="1"/>
  <c r="Q116" i="1"/>
  <c r="O116" i="1"/>
  <c r="M116" i="1"/>
  <c r="K116" i="1"/>
  <c r="I116" i="1"/>
  <c r="S115" i="1"/>
  <c r="T115" i="1" s="1"/>
  <c r="Q115" i="1"/>
  <c r="O115" i="1"/>
  <c r="M115" i="1"/>
  <c r="K115" i="1"/>
  <c r="I115" i="1"/>
  <c r="Q114" i="1"/>
  <c r="O114" i="1"/>
  <c r="M114" i="1"/>
  <c r="K114" i="1"/>
  <c r="I114" i="1"/>
  <c r="S114" i="1" s="1"/>
  <c r="Q113" i="1"/>
  <c r="O113" i="1"/>
  <c r="M113" i="1"/>
  <c r="K113" i="1"/>
  <c r="I113" i="1"/>
  <c r="Q112" i="1"/>
  <c r="T112" i="1" s="1"/>
  <c r="O112" i="1"/>
  <c r="M112" i="1"/>
  <c r="S112" i="1" s="1"/>
  <c r="K112" i="1"/>
  <c r="I112" i="1"/>
  <c r="Q111" i="1"/>
  <c r="O111" i="1"/>
  <c r="M111" i="1"/>
  <c r="K111" i="1"/>
  <c r="I111" i="1"/>
  <c r="Q110" i="1"/>
  <c r="T110" i="1" s="1"/>
  <c r="O110" i="1"/>
  <c r="M110" i="1"/>
  <c r="K110" i="1"/>
  <c r="S110" i="1" s="1"/>
  <c r="I110" i="1"/>
  <c r="Q109" i="1"/>
  <c r="O109" i="1"/>
  <c r="S109" i="1" s="1"/>
  <c r="M109" i="1"/>
  <c r="K109" i="1"/>
  <c r="I109" i="1"/>
  <c r="Q108" i="1"/>
  <c r="O108" i="1"/>
  <c r="M108" i="1"/>
  <c r="K108" i="1"/>
  <c r="I108" i="1"/>
  <c r="S108" i="1" s="1"/>
  <c r="T108" i="1" s="1"/>
  <c r="S107" i="1"/>
  <c r="Q107" i="1"/>
  <c r="T107" i="1" s="1"/>
  <c r="O107" i="1"/>
  <c r="M107" i="1"/>
  <c r="K107" i="1"/>
  <c r="I107" i="1"/>
  <c r="Q106" i="1"/>
  <c r="O106" i="1"/>
  <c r="M106" i="1"/>
  <c r="K106" i="1"/>
  <c r="I106" i="1"/>
  <c r="T105" i="1"/>
  <c r="S105" i="1"/>
  <c r="Q105" i="1"/>
  <c r="O105" i="1"/>
  <c r="M105" i="1"/>
  <c r="K105" i="1"/>
  <c r="I105" i="1"/>
  <c r="Q104" i="1"/>
  <c r="O104" i="1"/>
  <c r="M104" i="1"/>
  <c r="K104" i="1"/>
  <c r="I104" i="1"/>
  <c r="S103" i="1"/>
  <c r="T103" i="1" s="1"/>
  <c r="Q103" i="1"/>
  <c r="O103" i="1"/>
  <c r="M103" i="1"/>
  <c r="K103" i="1"/>
  <c r="I103" i="1"/>
  <c r="Q102" i="1"/>
  <c r="O102" i="1"/>
  <c r="M102" i="1"/>
  <c r="K102" i="1"/>
  <c r="I102" i="1"/>
  <c r="S102" i="1" s="1"/>
  <c r="Q101" i="1"/>
  <c r="O101" i="1"/>
  <c r="M101" i="1"/>
  <c r="K101" i="1"/>
  <c r="I101" i="1"/>
  <c r="Q100" i="1"/>
  <c r="O100" i="1"/>
  <c r="M100" i="1"/>
  <c r="S100" i="1" s="1"/>
  <c r="K100" i="1"/>
  <c r="I100" i="1"/>
  <c r="Q99" i="1"/>
  <c r="O99" i="1"/>
  <c r="M99" i="1"/>
  <c r="K99" i="1"/>
  <c r="I99" i="1"/>
  <c r="Q98" i="1"/>
  <c r="T98" i="1" s="1"/>
  <c r="O98" i="1"/>
  <c r="M98" i="1"/>
  <c r="K98" i="1"/>
  <c r="S98" i="1" s="1"/>
  <c r="I98" i="1"/>
  <c r="S97" i="1"/>
  <c r="Q97" i="1"/>
  <c r="T97" i="1" s="1"/>
  <c r="O97" i="1"/>
  <c r="M97" i="1"/>
  <c r="K97" i="1"/>
  <c r="I97" i="1"/>
  <c r="Q96" i="1"/>
  <c r="O96" i="1"/>
  <c r="M96" i="1"/>
  <c r="K96" i="1"/>
  <c r="I96" i="1"/>
  <c r="S96" i="1" s="1"/>
  <c r="T96" i="1" s="1"/>
  <c r="S95" i="1"/>
  <c r="T95" i="1" s="1"/>
  <c r="Q95" i="1"/>
  <c r="O95" i="1"/>
  <c r="M95" i="1"/>
  <c r="K95" i="1"/>
  <c r="I95" i="1"/>
  <c r="Q94" i="1"/>
  <c r="O94" i="1"/>
  <c r="M94" i="1"/>
  <c r="K94" i="1"/>
  <c r="I94" i="1"/>
  <c r="S94" i="1" s="1"/>
  <c r="Q93" i="1"/>
  <c r="O93" i="1"/>
  <c r="M93" i="1"/>
  <c r="K93" i="1"/>
  <c r="I93" i="1"/>
  <c r="S93" i="1" s="1"/>
  <c r="T93" i="1" s="1"/>
  <c r="Q92" i="1"/>
  <c r="O92" i="1"/>
  <c r="M92" i="1"/>
  <c r="K92" i="1"/>
  <c r="I92" i="1"/>
  <c r="S91" i="1"/>
  <c r="T91" i="1" s="1"/>
  <c r="Q91" i="1"/>
  <c r="O91" i="1"/>
  <c r="M91" i="1"/>
  <c r="K91" i="1"/>
  <c r="I91" i="1"/>
  <c r="Q90" i="1"/>
  <c r="T90" i="1" s="1"/>
  <c r="O90" i="1"/>
  <c r="M90" i="1"/>
  <c r="K90" i="1"/>
  <c r="I90" i="1"/>
  <c r="S90" i="1" s="1"/>
  <c r="Q89" i="1"/>
  <c r="O89" i="1"/>
  <c r="M89" i="1"/>
  <c r="K89" i="1"/>
  <c r="I89" i="1"/>
  <c r="Q88" i="1"/>
  <c r="O88" i="1"/>
  <c r="M88" i="1"/>
  <c r="S88" i="1" s="1"/>
  <c r="K88" i="1"/>
  <c r="I88" i="1"/>
  <c r="Q87" i="1"/>
  <c r="O87" i="1"/>
  <c r="M87" i="1"/>
  <c r="K87" i="1"/>
  <c r="I87" i="1"/>
  <c r="S87" i="1" s="1"/>
  <c r="T87" i="1" s="1"/>
  <c r="Q86" i="1"/>
  <c r="T86" i="1" s="1"/>
  <c r="O86" i="1"/>
  <c r="M86" i="1"/>
  <c r="K86" i="1"/>
  <c r="S86" i="1" s="1"/>
  <c r="I86" i="1"/>
  <c r="Q85" i="1"/>
  <c r="O85" i="1"/>
  <c r="S85" i="1" s="1"/>
  <c r="M85" i="1"/>
  <c r="K85" i="1"/>
  <c r="I85" i="1"/>
  <c r="Q84" i="1"/>
  <c r="O84" i="1"/>
  <c r="M84" i="1"/>
  <c r="K84" i="1"/>
  <c r="I84" i="1"/>
  <c r="S84" i="1" s="1"/>
  <c r="T84" i="1" s="1"/>
  <c r="Q83" i="1"/>
  <c r="T83" i="1" s="1"/>
  <c r="O83" i="1"/>
  <c r="M83" i="1"/>
  <c r="K83" i="1"/>
  <c r="S83" i="1" s="1"/>
  <c r="I83" i="1"/>
  <c r="Q82" i="1"/>
  <c r="O82" i="1"/>
  <c r="M82" i="1"/>
  <c r="K82" i="1"/>
  <c r="S82" i="1" s="1"/>
  <c r="T82" i="1" s="1"/>
  <c r="I82" i="1"/>
  <c r="Q81" i="1"/>
  <c r="O81" i="1"/>
  <c r="M81" i="1"/>
  <c r="K81" i="1"/>
  <c r="I81" i="1"/>
  <c r="S81" i="1" s="1"/>
  <c r="T81" i="1" s="1"/>
  <c r="Q80" i="1"/>
  <c r="O80" i="1"/>
  <c r="M80" i="1"/>
  <c r="K80" i="1"/>
  <c r="I80" i="1"/>
  <c r="S79" i="1"/>
  <c r="T79" i="1" s="1"/>
  <c r="Q79" i="1"/>
  <c r="O79" i="1"/>
  <c r="M79" i="1"/>
  <c r="K79" i="1"/>
  <c r="I79" i="1"/>
  <c r="Q78" i="1"/>
  <c r="T78" i="1" s="1"/>
  <c r="O78" i="1"/>
  <c r="M78" i="1"/>
  <c r="K78" i="1"/>
  <c r="I78" i="1"/>
  <c r="S78" i="1" s="1"/>
  <c r="Q77" i="1"/>
  <c r="O77" i="1"/>
  <c r="M77" i="1"/>
  <c r="K77" i="1"/>
  <c r="I77" i="1"/>
  <c r="S77" i="1" s="1"/>
  <c r="Q76" i="1"/>
  <c r="O76" i="1"/>
  <c r="M76" i="1"/>
  <c r="S76" i="1" s="1"/>
  <c r="K76" i="1"/>
  <c r="I76" i="1"/>
  <c r="Q75" i="1"/>
  <c r="O75" i="1"/>
  <c r="M75" i="1"/>
  <c r="K75" i="1"/>
  <c r="I75" i="1"/>
  <c r="S75" i="1" s="1"/>
  <c r="T75" i="1" s="1"/>
  <c r="Q74" i="1"/>
  <c r="T74" i="1" s="1"/>
  <c r="O74" i="1"/>
  <c r="M74" i="1"/>
  <c r="K74" i="1"/>
  <c r="S74" i="1" s="1"/>
  <c r="I74" i="1"/>
  <c r="Q73" i="1"/>
  <c r="O73" i="1"/>
  <c r="M73" i="1"/>
  <c r="K73" i="1"/>
  <c r="S73" i="1" s="1"/>
  <c r="I73" i="1"/>
  <c r="Q72" i="1"/>
  <c r="O72" i="1"/>
  <c r="M72" i="1"/>
  <c r="K72" i="1"/>
  <c r="I72" i="1"/>
  <c r="Q71" i="1"/>
  <c r="O71" i="1"/>
  <c r="M71" i="1"/>
  <c r="K71" i="1"/>
  <c r="S71" i="1" s="1"/>
  <c r="T71" i="1" s="1"/>
  <c r="I71" i="1"/>
  <c r="S70" i="1"/>
  <c r="T70" i="1" s="1"/>
  <c r="Q70" i="1"/>
  <c r="O70" i="1"/>
  <c r="M70" i="1"/>
  <c r="K70" i="1"/>
  <c r="I70" i="1"/>
  <c r="Q69" i="1"/>
  <c r="O69" i="1"/>
  <c r="M69" i="1"/>
  <c r="K69" i="1"/>
  <c r="I69" i="1"/>
  <c r="S69" i="1" s="1"/>
  <c r="T69" i="1" s="1"/>
  <c r="Q68" i="1"/>
  <c r="O68" i="1"/>
  <c r="M68" i="1"/>
  <c r="K68" i="1"/>
  <c r="I68" i="1"/>
  <c r="Q67" i="1"/>
  <c r="O67" i="1"/>
  <c r="M67" i="1"/>
  <c r="S67" i="1" s="1"/>
  <c r="T67" i="1" s="1"/>
  <c r="K67" i="1"/>
  <c r="I67" i="1"/>
  <c r="S66" i="1"/>
  <c r="Q66" i="1"/>
  <c r="T66" i="1" s="1"/>
  <c r="O66" i="1"/>
  <c r="M66" i="1"/>
  <c r="K66" i="1"/>
  <c r="I66" i="1"/>
  <c r="Q65" i="1"/>
  <c r="O65" i="1"/>
  <c r="M65" i="1"/>
  <c r="K65" i="1"/>
  <c r="I65" i="1"/>
  <c r="S64" i="1"/>
  <c r="Q64" i="1"/>
  <c r="T64" i="1" s="1"/>
  <c r="O64" i="1"/>
  <c r="M64" i="1"/>
  <c r="K64" i="1"/>
  <c r="I64" i="1"/>
  <c r="Q63" i="1"/>
  <c r="O63" i="1"/>
  <c r="M63" i="1"/>
  <c r="K63" i="1"/>
  <c r="I63" i="1"/>
  <c r="S63" i="1" s="1"/>
  <c r="T63" i="1" s="1"/>
  <c r="Q62" i="1"/>
  <c r="T62" i="1" s="1"/>
  <c r="O62" i="1"/>
  <c r="M62" i="1"/>
  <c r="K62" i="1"/>
  <c r="S62" i="1" s="1"/>
  <c r="I62" i="1"/>
  <c r="Q61" i="1"/>
  <c r="O61" i="1"/>
  <c r="M61" i="1"/>
  <c r="K61" i="1"/>
  <c r="S61" i="1" s="1"/>
  <c r="I61" i="1"/>
  <c r="Q60" i="1"/>
  <c r="O60" i="1"/>
  <c r="M60" i="1"/>
  <c r="K60" i="1"/>
  <c r="I60" i="1"/>
  <c r="Q59" i="1"/>
  <c r="T59" i="1" s="1"/>
  <c r="O59" i="1"/>
  <c r="M59" i="1"/>
  <c r="K59" i="1"/>
  <c r="S59" i="1" s="1"/>
  <c r="I59" i="1"/>
  <c r="S58" i="1"/>
  <c r="T58" i="1" s="1"/>
  <c r="Q58" i="1"/>
  <c r="O58" i="1"/>
  <c r="M58" i="1"/>
  <c r="K58" i="1"/>
  <c r="I58" i="1"/>
  <c r="Q57" i="1"/>
  <c r="T57" i="1" s="1"/>
  <c r="O57" i="1"/>
  <c r="M57" i="1"/>
  <c r="K57" i="1"/>
  <c r="I57" i="1"/>
  <c r="S57" i="1" s="1"/>
  <c r="Q56" i="1"/>
  <c r="O56" i="1"/>
  <c r="M56" i="1"/>
  <c r="K56" i="1"/>
  <c r="I56" i="1"/>
  <c r="Q55" i="1"/>
  <c r="O55" i="1"/>
  <c r="M55" i="1"/>
  <c r="S55" i="1" s="1"/>
  <c r="T55" i="1" s="1"/>
  <c r="K55" i="1"/>
  <c r="I55" i="1"/>
  <c r="Q54" i="1"/>
  <c r="O54" i="1"/>
  <c r="M54" i="1"/>
  <c r="K54" i="1"/>
  <c r="I54" i="1"/>
  <c r="S54" i="1" s="1"/>
  <c r="Q53" i="1"/>
  <c r="O53" i="1"/>
  <c r="M53" i="1"/>
  <c r="K53" i="1"/>
  <c r="I53" i="1"/>
  <c r="S53" i="1" s="1"/>
  <c r="S52" i="1"/>
  <c r="Q52" i="1"/>
  <c r="T52" i="1" s="1"/>
  <c r="O52" i="1"/>
  <c r="M52" i="1"/>
  <c r="K52" i="1"/>
  <c r="I52" i="1"/>
  <c r="Q51" i="1"/>
  <c r="O51" i="1"/>
  <c r="M51" i="1"/>
  <c r="K51" i="1"/>
  <c r="I51" i="1"/>
  <c r="Q50" i="1"/>
  <c r="O50" i="1"/>
  <c r="M50" i="1"/>
  <c r="K50" i="1"/>
  <c r="S50" i="1" s="1"/>
  <c r="T50" i="1" s="1"/>
  <c r="I50" i="1"/>
  <c r="Q49" i="1"/>
  <c r="O49" i="1"/>
  <c r="M49" i="1"/>
  <c r="K49" i="1"/>
  <c r="I49" i="1"/>
  <c r="S49" i="1" s="1"/>
  <c r="Q48" i="1"/>
  <c r="O48" i="1"/>
  <c r="M48" i="1"/>
  <c r="K48" i="1"/>
  <c r="I48" i="1"/>
  <c r="S48" i="1" s="1"/>
  <c r="T48" i="1" s="1"/>
  <c r="Q47" i="1"/>
  <c r="T47" i="1" s="1"/>
  <c r="O47" i="1"/>
  <c r="S47" i="1" s="1"/>
  <c r="M47" i="1"/>
  <c r="K47" i="1"/>
  <c r="I47" i="1"/>
  <c r="Q46" i="1"/>
  <c r="O46" i="1"/>
  <c r="M46" i="1"/>
  <c r="K46" i="1"/>
  <c r="I46" i="1"/>
  <c r="S46" i="1" s="1"/>
  <c r="T46" i="1" s="1"/>
  <c r="S45" i="1"/>
  <c r="Q45" i="1"/>
  <c r="T45" i="1" s="1"/>
  <c r="O45" i="1"/>
  <c r="M45" i="1"/>
  <c r="K45" i="1"/>
  <c r="I45" i="1"/>
  <c r="Q44" i="1"/>
  <c r="O44" i="1"/>
  <c r="M44" i="1"/>
  <c r="K44" i="1"/>
  <c r="I44" i="1"/>
  <c r="T43" i="1"/>
  <c r="S43" i="1"/>
  <c r="Q43" i="1"/>
  <c r="O43" i="1"/>
  <c r="M43" i="1"/>
  <c r="K43" i="1"/>
  <c r="I43" i="1"/>
  <c r="Q42" i="1"/>
  <c r="O42" i="1"/>
  <c r="M42" i="1"/>
  <c r="K42" i="1"/>
  <c r="I42" i="1"/>
  <c r="S42" i="1" s="1"/>
  <c r="Q41" i="1"/>
  <c r="O41" i="1"/>
  <c r="M41" i="1"/>
  <c r="K41" i="1"/>
  <c r="I41" i="1"/>
  <c r="Q40" i="1"/>
  <c r="O40" i="1"/>
  <c r="M40" i="1"/>
  <c r="S40" i="1" s="1"/>
  <c r="K40" i="1"/>
  <c r="I40" i="1"/>
  <c r="Q39" i="1"/>
  <c r="O39" i="1"/>
  <c r="M39" i="1"/>
  <c r="K39" i="1"/>
  <c r="I39" i="1"/>
  <c r="Q38" i="1"/>
  <c r="O38" i="1"/>
  <c r="M38" i="1"/>
  <c r="K38" i="1"/>
  <c r="S38" i="1" s="1"/>
  <c r="I38" i="1"/>
  <c r="Q37" i="1"/>
  <c r="O37" i="1"/>
  <c r="M37" i="1"/>
  <c r="K37" i="1"/>
  <c r="I37" i="1"/>
  <c r="S37" i="1" s="1"/>
  <c r="Q36" i="1"/>
  <c r="O36" i="1"/>
  <c r="M36" i="1"/>
  <c r="K36" i="1"/>
  <c r="I36" i="1"/>
  <c r="S36" i="1" s="1"/>
  <c r="T36" i="1" s="1"/>
  <c r="S35" i="1"/>
  <c r="Q35" i="1"/>
  <c r="T35" i="1" s="1"/>
  <c r="O35" i="1"/>
  <c r="M35" i="1"/>
  <c r="K35" i="1"/>
  <c r="I35" i="1"/>
  <c r="Q34" i="1"/>
  <c r="O34" i="1"/>
  <c r="M34" i="1"/>
  <c r="K34" i="1"/>
  <c r="S34" i="1" s="1"/>
  <c r="T34" i="1" s="1"/>
  <c r="I34" i="1"/>
  <c r="Q33" i="1"/>
  <c r="O33" i="1"/>
  <c r="M33" i="1"/>
  <c r="K33" i="1"/>
  <c r="I33" i="1"/>
  <c r="S33" i="1" s="1"/>
  <c r="T33" i="1" s="1"/>
  <c r="Q32" i="1"/>
  <c r="O32" i="1"/>
  <c r="M32" i="1"/>
  <c r="K32" i="1"/>
  <c r="I32" i="1"/>
  <c r="S32" i="1" s="1"/>
  <c r="Q31" i="1"/>
  <c r="O31" i="1"/>
  <c r="M31" i="1"/>
  <c r="K31" i="1"/>
  <c r="I31" i="1"/>
  <c r="S31" i="1" s="1"/>
  <c r="T31" i="1" s="1"/>
  <c r="S30" i="1"/>
  <c r="Q30" i="1"/>
  <c r="T30" i="1" s="1"/>
  <c r="O30" i="1"/>
  <c r="M30" i="1"/>
  <c r="K30" i="1"/>
  <c r="I30" i="1"/>
  <c r="Q29" i="1"/>
  <c r="O29" i="1"/>
  <c r="M29" i="1"/>
  <c r="K29" i="1"/>
  <c r="I29" i="1"/>
  <c r="S28" i="1"/>
  <c r="Q28" i="1"/>
  <c r="T28" i="1" s="1"/>
  <c r="O28" i="1"/>
  <c r="M28" i="1"/>
  <c r="K28" i="1"/>
  <c r="I28" i="1"/>
  <c r="Q27" i="1"/>
  <c r="T27" i="1" s="1"/>
  <c r="O27" i="1"/>
  <c r="M27" i="1"/>
  <c r="K27" i="1"/>
  <c r="I27" i="1"/>
  <c r="S27" i="1" s="1"/>
  <c r="S26" i="1"/>
  <c r="T26" i="1" s="1"/>
  <c r="Q26" i="1"/>
  <c r="O26" i="1"/>
  <c r="M26" i="1"/>
  <c r="K26" i="1"/>
  <c r="I26" i="1"/>
  <c r="Q25" i="1"/>
  <c r="T25" i="1" s="1"/>
  <c r="O25" i="1"/>
  <c r="M25" i="1"/>
  <c r="K25" i="1"/>
  <c r="I25" i="1"/>
  <c r="S25" i="1" s="1"/>
  <c r="Q24" i="1"/>
  <c r="O24" i="1"/>
  <c r="M24" i="1"/>
  <c r="K24" i="1"/>
  <c r="I24" i="1"/>
  <c r="S24" i="1" s="1"/>
  <c r="T24" i="1" s="1"/>
  <c r="Q23" i="1"/>
  <c r="O23" i="1"/>
  <c r="M23" i="1"/>
  <c r="K23" i="1"/>
  <c r="S23" i="1" s="1"/>
  <c r="T23" i="1" s="1"/>
  <c r="I23" i="1"/>
  <c r="Q22" i="1"/>
  <c r="O22" i="1"/>
  <c r="M22" i="1"/>
  <c r="K22" i="1"/>
  <c r="I22" i="1"/>
  <c r="S22" i="1" s="1"/>
  <c r="Q21" i="1"/>
  <c r="O21" i="1"/>
  <c r="M21" i="1"/>
  <c r="K21" i="1"/>
  <c r="I21" i="1"/>
  <c r="S21" i="1" s="1"/>
  <c r="Q20" i="1"/>
  <c r="O20" i="1"/>
  <c r="M20" i="1"/>
  <c r="K20" i="1"/>
  <c r="I20" i="1"/>
  <c r="S20" i="1" s="1"/>
  <c r="Q19" i="1"/>
  <c r="O19" i="1"/>
  <c r="S19" i="1" s="1"/>
  <c r="M19" i="1"/>
  <c r="K19" i="1"/>
  <c r="I19" i="1"/>
  <c r="Q18" i="1"/>
  <c r="T18" i="1" s="1"/>
  <c r="O18" i="1"/>
  <c r="M18" i="1"/>
  <c r="K18" i="1"/>
  <c r="I18" i="1"/>
  <c r="S18" i="1" s="1"/>
  <c r="S17" i="1"/>
  <c r="T17" i="1" s="1"/>
  <c r="Q17" i="1"/>
  <c r="O17" i="1"/>
  <c r="M17" i="1"/>
  <c r="K17" i="1"/>
  <c r="I17" i="1"/>
  <c r="Q16" i="1"/>
  <c r="T16" i="1" s="1"/>
  <c r="O16" i="1"/>
  <c r="M16" i="1"/>
  <c r="K16" i="1"/>
  <c r="I16" i="1"/>
  <c r="S16" i="1" s="1"/>
  <c r="Q15" i="1"/>
  <c r="O15" i="1"/>
  <c r="M15" i="1"/>
  <c r="K15" i="1"/>
  <c r="I15" i="1"/>
  <c r="S15" i="1" s="1"/>
  <c r="Q14" i="1"/>
  <c r="O14" i="1"/>
  <c r="M14" i="1"/>
  <c r="M7" i="1" s="1"/>
  <c r="K14" i="1"/>
  <c r="I14" i="1"/>
  <c r="S14" i="1" s="1"/>
  <c r="Q13" i="1"/>
  <c r="T13" i="1" s="1"/>
  <c r="O13" i="1"/>
  <c r="M13" i="1"/>
  <c r="K13" i="1"/>
  <c r="I13" i="1"/>
  <c r="S13" i="1" s="1"/>
  <c r="S12" i="1"/>
  <c r="Q12" i="1"/>
  <c r="T12" i="1" s="1"/>
  <c r="O12" i="1"/>
  <c r="M12" i="1"/>
  <c r="K12" i="1"/>
  <c r="I12" i="1"/>
  <c r="Q11" i="1"/>
  <c r="T11" i="1" s="1"/>
  <c r="O11" i="1"/>
  <c r="M11" i="1"/>
  <c r="K11" i="1"/>
  <c r="I11" i="1"/>
  <c r="S11" i="1" s="1"/>
  <c r="Q10" i="1"/>
  <c r="O10" i="1"/>
  <c r="M10" i="1"/>
  <c r="K10" i="1"/>
  <c r="I10" i="1"/>
  <c r="S10" i="1" s="1"/>
  <c r="T10" i="1" s="1"/>
  <c r="Q9" i="1"/>
  <c r="O9" i="1"/>
  <c r="O7" i="1" s="1"/>
  <c r="M9" i="1"/>
  <c r="K9" i="1"/>
  <c r="S9" i="1" s="1"/>
  <c r="T9" i="1" s="1"/>
  <c r="I9" i="1"/>
  <c r="T8" i="1"/>
  <c r="S8" i="1"/>
  <c r="V7" i="1" a="1"/>
  <c r="V7" i="1" s="1"/>
  <c r="I7" i="1"/>
  <c r="T76" i="1" l="1"/>
  <c r="T124" i="1"/>
  <c r="T14" i="1"/>
  <c r="T21" i="1"/>
  <c r="T88" i="1"/>
  <c r="T42" i="1"/>
  <c r="T102" i="1"/>
  <c r="T138" i="1"/>
  <c r="S7" i="1"/>
  <c r="T19" i="1"/>
  <c r="T40" i="1"/>
  <c r="T100" i="1"/>
  <c r="T136" i="1"/>
  <c r="T15" i="1"/>
  <c r="T38" i="1"/>
  <c r="T54" i="1"/>
  <c r="T114" i="1"/>
  <c r="Q369" i="1"/>
  <c r="T373" i="1"/>
  <c r="K7" i="1"/>
  <c r="T68" i="1"/>
  <c r="S92" i="1"/>
  <c r="T109" i="1"/>
  <c r="T121" i="1"/>
  <c r="T133" i="1"/>
  <c r="S152" i="1"/>
  <c r="T152" i="1" s="1"/>
  <c r="S154" i="1"/>
  <c r="T154" i="1" s="1"/>
  <c r="S173" i="1"/>
  <c r="S188" i="1"/>
  <c r="T188" i="1" s="1"/>
  <c r="S197" i="1"/>
  <c r="S212" i="1"/>
  <c r="T212" i="1" s="1"/>
  <c r="S221" i="1"/>
  <c r="K292" i="1"/>
  <c r="S292" i="1" s="1"/>
  <c r="T300" i="1"/>
  <c r="Q292" i="1"/>
  <c r="S29" i="1"/>
  <c r="S44" i="1"/>
  <c r="T44" i="1" s="1"/>
  <c r="S65" i="1"/>
  <c r="T65" i="1" s="1"/>
  <c r="T80" i="1"/>
  <c r="S104" i="1"/>
  <c r="T104" i="1" s="1"/>
  <c r="S106" i="1"/>
  <c r="S116" i="1"/>
  <c r="S118" i="1"/>
  <c r="S128" i="1"/>
  <c r="S130" i="1"/>
  <c r="T130" i="1" s="1"/>
  <c r="S140" i="1"/>
  <c r="S142" i="1"/>
  <c r="T160" i="1"/>
  <c r="T166" i="1"/>
  <c r="S171" i="1"/>
  <c r="T171" i="1" s="1"/>
  <c r="T190" i="1"/>
  <c r="S195" i="1"/>
  <c r="T195" i="1" s="1"/>
  <c r="S219" i="1"/>
  <c r="T219" i="1" s="1"/>
  <c r="S326" i="1"/>
  <c r="T326" i="1" s="1"/>
  <c r="S503" i="1"/>
  <c r="I501" i="1"/>
  <c r="Q7" i="1"/>
  <c r="T53" i="1"/>
  <c r="T236" i="1"/>
  <c r="T270" i="1"/>
  <c r="T272" i="1"/>
  <c r="T303" i="1"/>
  <c r="T321" i="1"/>
  <c r="T339" i="1"/>
  <c r="T357" i="1"/>
  <c r="T32" i="1"/>
  <c r="T256" i="1"/>
  <c r="T92" i="1"/>
  <c r="T94" i="1"/>
  <c r="T173" i="1"/>
  <c r="T197" i="1"/>
  <c r="T221" i="1"/>
  <c r="T312" i="1"/>
  <c r="T328" i="1"/>
  <c r="T348" i="1"/>
  <c r="M369" i="1"/>
  <c r="T49" i="1"/>
  <c r="T61" i="1"/>
  <c r="T184" i="1"/>
  <c r="T208" i="1"/>
  <c r="T232" i="1"/>
  <c r="T250" i="1"/>
  <c r="T268" i="1"/>
  <c r="T286" i="1"/>
  <c r="T317" i="1"/>
  <c r="T319" i="1"/>
  <c r="T353" i="1"/>
  <c r="T355" i="1"/>
  <c r="T364" i="1"/>
  <c r="S369" i="1"/>
  <c r="T29" i="1"/>
  <c r="S39" i="1"/>
  <c r="T39" i="1" s="1"/>
  <c r="S56" i="1"/>
  <c r="S89" i="1"/>
  <c r="T106" i="1"/>
  <c r="T116" i="1"/>
  <c r="T118" i="1"/>
  <c r="T128" i="1"/>
  <c r="T140" i="1"/>
  <c r="T142" i="1"/>
  <c r="S149" i="1"/>
  <c r="S155" i="1"/>
  <c r="T155" i="1" s="1"/>
  <c r="S176" i="1"/>
  <c r="S185" i="1"/>
  <c r="S200" i="1"/>
  <c r="S209" i="1"/>
  <c r="T209" i="1" s="1"/>
  <c r="S224" i="1"/>
  <c r="T224" i="1" s="1"/>
  <c r="S233" i="1"/>
  <c r="T233" i="1" s="1"/>
  <c r="T241" i="1"/>
  <c r="T257" i="1"/>
  <c r="T277" i="1"/>
  <c r="S302" i="1"/>
  <c r="T302" i="1" s="1"/>
  <c r="S338" i="1"/>
  <c r="T338" i="1" s="1"/>
  <c r="S419" i="1"/>
  <c r="T419" i="1" s="1"/>
  <c r="T20" i="1"/>
  <c r="S41" i="1"/>
  <c r="T41" i="1" s="1"/>
  <c r="S60" i="1"/>
  <c r="T60" i="1" s="1"/>
  <c r="T73" i="1"/>
  <c r="S99" i="1"/>
  <c r="T99" i="1" s="1"/>
  <c r="S147" i="1"/>
  <c r="T147" i="1" s="1"/>
  <c r="T169" i="1"/>
  <c r="T182" i="1"/>
  <c r="T193" i="1"/>
  <c r="T206" i="1"/>
  <c r="T217" i="1"/>
  <c r="T230" i="1"/>
  <c r="T246" i="1"/>
  <c r="T248" i="1"/>
  <c r="T266" i="1"/>
  <c r="T282" i="1"/>
  <c r="T284" i="1"/>
  <c r="T297" i="1"/>
  <c r="S309" i="1"/>
  <c r="T309" i="1" s="1"/>
  <c r="T315" i="1"/>
  <c r="T333" i="1"/>
  <c r="T351" i="1"/>
  <c r="O385" i="1"/>
  <c r="T22" i="1"/>
  <c r="S68" i="1"/>
  <c r="T77" i="1"/>
  <c r="S101" i="1"/>
  <c r="T101" i="1" s="1"/>
  <c r="S111" i="1"/>
  <c r="T111" i="1" s="1"/>
  <c r="S113" i="1"/>
  <c r="T113" i="1" s="1"/>
  <c r="S123" i="1"/>
  <c r="T123" i="1" s="1"/>
  <c r="S125" i="1"/>
  <c r="T125" i="1" s="1"/>
  <c r="S135" i="1"/>
  <c r="T135" i="1" s="1"/>
  <c r="S137" i="1"/>
  <c r="T137" i="1" s="1"/>
  <c r="T161" i="1"/>
  <c r="T178" i="1"/>
  <c r="S183" i="1"/>
  <c r="T183" i="1" s="1"/>
  <c r="T202" i="1"/>
  <c r="S207" i="1"/>
  <c r="T207" i="1" s="1"/>
  <c r="T226" i="1"/>
  <c r="S231" i="1"/>
  <c r="T231" i="1" s="1"/>
  <c r="O292" i="1"/>
  <c r="T304" i="1"/>
  <c r="T324" i="1"/>
  <c r="T340" i="1"/>
  <c r="T360" i="1"/>
  <c r="T37" i="1"/>
  <c r="S72" i="1"/>
  <c r="T72" i="1" s="1"/>
  <c r="T85" i="1"/>
  <c r="T262" i="1"/>
  <c r="M292" i="1"/>
  <c r="T295" i="1"/>
  <c r="S307" i="1"/>
  <c r="T307" i="1" s="1"/>
  <c r="T329" i="1"/>
  <c r="T331" i="1"/>
  <c r="S343" i="1"/>
  <c r="T343" i="1" s="1"/>
  <c r="S378" i="1"/>
  <c r="T378" i="1" s="1"/>
  <c r="T488" i="1"/>
  <c r="S51" i="1"/>
  <c r="T51" i="1" s="1"/>
  <c r="T56" i="1"/>
  <c r="S80" i="1"/>
  <c r="T89" i="1"/>
  <c r="T149" i="1"/>
  <c r="S164" i="1"/>
  <c r="T164" i="1" s="1"/>
  <c r="S166" i="1"/>
  <c r="T176" i="1"/>
  <c r="T185" i="1"/>
  <c r="S190" i="1"/>
  <c r="T200" i="1"/>
  <c r="S214" i="1"/>
  <c r="T214" i="1" s="1"/>
  <c r="S314" i="1"/>
  <c r="T314" i="1" s="1"/>
  <c r="S350" i="1"/>
  <c r="T350" i="1" s="1"/>
  <c r="T388" i="1"/>
  <c r="T392" i="1"/>
  <c r="T398" i="1"/>
  <c r="S407" i="1"/>
  <c r="T407" i="1" s="1"/>
  <c r="S411" i="1"/>
  <c r="T411" i="1" s="1"/>
  <c r="Q414" i="1"/>
  <c r="S452" i="1"/>
  <c r="O465" i="1"/>
  <c r="T471" i="1"/>
  <c r="T475" i="1"/>
  <c r="S478" i="1"/>
  <c r="T478" i="1" s="1"/>
  <c r="S480" i="1"/>
  <c r="T518" i="1"/>
  <c r="T592" i="1"/>
  <c r="S616" i="1"/>
  <c r="T616" i="1" s="1"/>
  <c r="T655" i="1"/>
  <c r="S372" i="1"/>
  <c r="T372" i="1" s="1"/>
  <c r="S423" i="1"/>
  <c r="T467" i="1"/>
  <c r="M501" i="1"/>
  <c r="S510" i="1"/>
  <c r="T601" i="1"/>
  <c r="S618" i="1"/>
  <c r="T618" i="1" s="1"/>
  <c r="T381" i="1"/>
  <c r="S387" i="1"/>
  <c r="T387" i="1" s="1"/>
  <c r="S393" i="1"/>
  <c r="S399" i="1"/>
  <c r="T399" i="1" s="1"/>
  <c r="T437" i="1"/>
  <c r="T462" i="1"/>
  <c r="S470" i="1"/>
  <c r="T470" i="1" s="1"/>
  <c r="O501" i="1"/>
  <c r="T525" i="1"/>
  <c r="T536" i="1"/>
  <c r="S539" i="1"/>
  <c r="T539" i="1" s="1"/>
  <c r="T556" i="1"/>
  <c r="S575" i="1"/>
  <c r="T575" i="1" s="1"/>
  <c r="T669" i="1"/>
  <c r="S384" i="1"/>
  <c r="T384" i="1" s="1"/>
  <c r="T433" i="1"/>
  <c r="T435" i="1"/>
  <c r="T454" i="1"/>
  <c r="T456" i="1"/>
  <c r="I465" i="1"/>
  <c r="S465" i="1" s="1"/>
  <c r="T499" i="1"/>
  <c r="Q501" i="1"/>
  <c r="S508" i="1"/>
  <c r="T508" i="1" s="1"/>
  <c r="K501" i="1"/>
  <c r="T534" i="1"/>
  <c r="S548" i="1"/>
  <c r="T563" i="1"/>
  <c r="T572" i="1"/>
  <c r="T611" i="1"/>
  <c r="T623" i="1"/>
  <c r="T676" i="1"/>
  <c r="T682" i="1"/>
  <c r="T425" i="1"/>
  <c r="T427" i="1"/>
  <c r="T450" i="1"/>
  <c r="T452" i="1"/>
  <c r="T480" i="1"/>
  <c r="T495" i="1"/>
  <c r="O595" i="1"/>
  <c r="S366" i="1"/>
  <c r="T366" i="1" s="1"/>
  <c r="T405" i="1"/>
  <c r="K414" i="1"/>
  <c r="T421" i="1"/>
  <c r="T423" i="1"/>
  <c r="T442" i="1"/>
  <c r="T444" i="1"/>
  <c r="Q465" i="1"/>
  <c r="T510" i="1"/>
  <c r="T530" i="1"/>
  <c r="T561" i="1"/>
  <c r="T577" i="1"/>
  <c r="T597" i="1"/>
  <c r="Q595" i="1"/>
  <c r="T604" i="1"/>
  <c r="T614" i="1"/>
  <c r="T630" i="1"/>
  <c r="T632" i="1"/>
  <c r="T651" i="1"/>
  <c r="T663" i="1"/>
  <c r="Q385" i="1"/>
  <c r="T393" i="1"/>
  <c r="S424" i="1"/>
  <c r="T424" i="1" s="1"/>
  <c r="S426" i="1"/>
  <c r="T426" i="1" s="1"/>
  <c r="S428" i="1"/>
  <c r="T440" i="1"/>
  <c r="S447" i="1"/>
  <c r="T447" i="1" s="1"/>
  <c r="S451" i="1"/>
  <c r="T451" i="1" s="1"/>
  <c r="S544" i="1"/>
  <c r="T550" i="1"/>
  <c r="S553" i="1"/>
  <c r="T584" i="1"/>
  <c r="T621" i="1"/>
  <c r="T626" i="1"/>
  <c r="T649" i="1"/>
  <c r="T661" i="1"/>
  <c r="K369" i="1"/>
  <c r="T468" i="1"/>
  <c r="T489" i="1"/>
  <c r="T506" i="1"/>
  <c r="T537" i="1"/>
  <c r="T548" i="1"/>
  <c r="T582" i="1"/>
  <c r="T600" i="1"/>
  <c r="T382" i="1"/>
  <c r="I385" i="1"/>
  <c r="S385" i="1" s="1"/>
  <c r="S400" i="1"/>
  <c r="T400" i="1" s="1"/>
  <c r="S416" i="1"/>
  <c r="T416" i="1" s="1"/>
  <c r="S475" i="1"/>
  <c r="T483" i="1"/>
  <c r="T487" i="1"/>
  <c r="T515" i="1"/>
  <c r="T573" i="1"/>
  <c r="T589" i="1"/>
  <c r="M595" i="1"/>
  <c r="T619" i="1"/>
  <c r="T624" i="1"/>
  <c r="T637" i="1"/>
  <c r="T641" i="1"/>
  <c r="T643" i="1"/>
  <c r="T654" i="1"/>
  <c r="T659" i="1"/>
  <c r="S377" i="1"/>
  <c r="T377" i="1" s="1"/>
  <c r="T457" i="1"/>
  <c r="S488" i="1"/>
  <c r="T513" i="1"/>
  <c r="T524" i="1"/>
  <c r="S527" i="1"/>
  <c r="T527" i="1" s="1"/>
  <c r="T544" i="1"/>
  <c r="T580" i="1"/>
  <c r="T587" i="1"/>
  <c r="S601" i="1"/>
  <c r="T605" i="1"/>
  <c r="T635" i="1"/>
  <c r="T679" i="1"/>
  <c r="T685" i="1"/>
  <c r="T410" i="1"/>
  <c r="T412" i="1"/>
  <c r="M414" i="1"/>
  <c r="T428" i="1"/>
  <c r="S464" i="1"/>
  <c r="T464" i="1" s="1"/>
  <c r="K465" i="1"/>
  <c r="T479" i="1"/>
  <c r="T522" i="1"/>
  <c r="S525" i="1"/>
  <c r="T542" i="1"/>
  <c r="T553" i="1"/>
  <c r="S558" i="1"/>
  <c r="T558" i="1" s="1"/>
  <c r="T562" i="1"/>
  <c r="T594" i="1"/>
  <c r="T598" i="1"/>
  <c r="S606" i="1"/>
  <c r="T606" i="1" s="1"/>
  <c r="T610" i="1"/>
  <c r="S638" i="1"/>
  <c r="T638" i="1" s="1"/>
  <c r="S644" i="1"/>
  <c r="T644" i="1" s="1"/>
  <c r="T652" i="1"/>
  <c r="T657" i="1"/>
  <c r="T666" i="1"/>
  <c r="T697" i="1"/>
  <c r="S703" i="1"/>
  <c r="T703" i="1" s="1"/>
  <c r="S707" i="1"/>
  <c r="T719" i="1"/>
  <c r="S752" i="1"/>
  <c r="K618" i="1"/>
  <c r="K595" i="1" s="1"/>
  <c r="T715" i="1"/>
  <c r="T758" i="1"/>
  <c r="T693" i="1"/>
  <c r="T707" i="1"/>
  <c r="T744" i="1"/>
  <c r="T774" i="1"/>
  <c r="T776" i="1"/>
  <c r="T809" i="1"/>
  <c r="T690" i="1"/>
  <c r="S702" i="1"/>
  <c r="T705" i="1"/>
  <c r="T709" i="1"/>
  <c r="T735" i="1"/>
  <c r="T746" i="1"/>
  <c r="T750" i="1"/>
  <c r="T752" i="1"/>
  <c r="T772" i="1"/>
  <c r="T789" i="1"/>
  <c r="S388" i="1"/>
  <c r="I439" i="1"/>
  <c r="T503" i="1"/>
  <c r="I595" i="1"/>
  <c r="S670" i="1"/>
  <c r="T670" i="1" s="1"/>
  <c r="T687" i="1"/>
  <c r="T731" i="1"/>
  <c r="K439" i="1"/>
  <c r="T684" i="1"/>
  <c r="T720" i="1"/>
  <c r="T729" i="1"/>
  <c r="T766" i="1"/>
  <c r="T768" i="1"/>
  <c r="T783" i="1"/>
  <c r="T807" i="1"/>
  <c r="T838" i="1"/>
  <c r="S667" i="1"/>
  <c r="T667" i="1" s="1"/>
  <c r="S672" i="1"/>
  <c r="T672" i="1" s="1"/>
  <c r="T673" i="1"/>
  <c r="T681" i="1"/>
  <c r="S699" i="1"/>
  <c r="T699" i="1" s="1"/>
  <c r="T678" i="1"/>
  <c r="T759" i="1"/>
  <c r="T777" i="1"/>
  <c r="T781" i="1"/>
  <c r="T792" i="1"/>
  <c r="T794" i="1"/>
  <c r="T796" i="1"/>
  <c r="S799" i="1"/>
  <c r="T799" i="1" s="1"/>
  <c r="S664" i="1"/>
  <c r="T664" i="1" s="1"/>
  <c r="T675" i="1"/>
  <c r="S696" i="1"/>
  <c r="T696" i="1" s="1"/>
  <c r="T702" i="1"/>
  <c r="T714" i="1"/>
  <c r="T736" i="1"/>
  <c r="T743" i="1"/>
  <c r="T747" i="1"/>
  <c r="T749" i="1"/>
  <c r="S811" i="1"/>
  <c r="T811" i="1" s="1"/>
  <c r="T832" i="1"/>
  <c r="S711" i="1"/>
  <c r="T711" i="1" s="1"/>
  <c r="S717" i="1"/>
  <c r="T717" i="1" s="1"/>
  <c r="T721" i="1"/>
  <c r="T734" i="1"/>
  <c r="T762" i="1"/>
  <c r="T786" i="1"/>
  <c r="S797" i="1"/>
  <c r="T808" i="1"/>
  <c r="T901" i="1"/>
  <c r="T925" i="1"/>
  <c r="S822" i="1"/>
  <c r="T822" i="1" s="1"/>
  <c r="S828" i="1"/>
  <c r="T828" i="1" s="1"/>
  <c r="S834" i="1"/>
  <c r="T834" i="1" s="1"/>
  <c r="S840" i="1"/>
  <c r="T840" i="1" s="1"/>
  <c r="S846" i="1"/>
  <c r="T846" i="1" s="1"/>
  <c r="S852" i="1"/>
  <c r="S858" i="1"/>
  <c r="S864" i="1"/>
  <c r="S870" i="1"/>
  <c r="S876" i="1"/>
  <c r="S882" i="1"/>
  <c r="T882" i="1" s="1"/>
  <c r="S888" i="1"/>
  <c r="T888" i="1" s="1"/>
  <c r="S894" i="1"/>
  <c r="T894" i="1" s="1"/>
  <c r="S900" i="1"/>
  <c r="T900" i="1" s="1"/>
  <c r="S906" i="1"/>
  <c r="T906" i="1" s="1"/>
  <c r="S912" i="1"/>
  <c r="T912" i="1" s="1"/>
  <c r="S918" i="1"/>
  <c r="T918" i="1" s="1"/>
  <c r="S924" i="1"/>
  <c r="S930" i="1"/>
  <c r="S936" i="1"/>
  <c r="S942" i="1"/>
  <c r="S948" i="1"/>
  <c r="S954" i="1"/>
  <c r="T954" i="1" s="1"/>
  <c r="S818" i="1"/>
  <c r="T818" i="1" s="1"/>
  <c r="I816" i="1"/>
  <c r="S773" i="1"/>
  <c r="T773" i="1" s="1"/>
  <c r="S791" i="1"/>
  <c r="T791" i="1" s="1"/>
  <c r="T797" i="1"/>
  <c r="S815" i="1"/>
  <c r="T815" i="1" s="1"/>
  <c r="T755" i="1"/>
  <c r="T779" i="1"/>
  <c r="T852" i="1"/>
  <c r="T858" i="1"/>
  <c r="T864" i="1"/>
  <c r="T870" i="1"/>
  <c r="T876" i="1"/>
  <c r="T924" i="1"/>
  <c r="T930" i="1"/>
  <c r="T936" i="1"/>
  <c r="T942" i="1"/>
  <c r="T948" i="1"/>
  <c r="T960" i="1"/>
  <c r="S721" i="1"/>
  <c r="S788" i="1"/>
  <c r="Q816" i="1"/>
  <c r="T824" i="1"/>
  <c r="T830" i="1"/>
  <c r="T836" i="1"/>
  <c r="T842" i="1"/>
  <c r="T848" i="1"/>
  <c r="T854" i="1"/>
  <c r="T860" i="1"/>
  <c r="T866" i="1"/>
  <c r="T872" i="1"/>
  <c r="T878" i="1"/>
  <c r="T884" i="1"/>
  <c r="T890" i="1"/>
  <c r="T896" i="1"/>
  <c r="T902" i="1"/>
  <c r="T908" i="1"/>
  <c r="T914" i="1"/>
  <c r="T920" i="1"/>
  <c r="T926" i="1"/>
  <c r="T932" i="1"/>
  <c r="T938" i="1"/>
  <c r="T944" i="1"/>
  <c r="T950" i="1"/>
  <c r="T956" i="1"/>
  <c r="T962" i="1"/>
  <c r="S716" i="1"/>
  <c r="T716" i="1" s="1"/>
  <c r="S770" i="1"/>
  <c r="T770" i="1" s="1"/>
  <c r="S810" i="1"/>
  <c r="S819" i="1"/>
  <c r="S825" i="1"/>
  <c r="S831" i="1"/>
  <c r="S837" i="1"/>
  <c r="S843" i="1"/>
  <c r="S849" i="1"/>
  <c r="S855" i="1"/>
  <c r="S861" i="1"/>
  <c r="S867" i="1"/>
  <c r="S873" i="1"/>
  <c r="S879" i="1"/>
  <c r="S885" i="1"/>
  <c r="S891" i="1"/>
  <c r="S897" i="1"/>
  <c r="S903" i="1"/>
  <c r="S909" i="1"/>
  <c r="S915" i="1"/>
  <c r="S921" i="1"/>
  <c r="S927" i="1"/>
  <c r="S933" i="1"/>
  <c r="S939" i="1"/>
  <c r="S945" i="1"/>
  <c r="S951" i="1"/>
  <c r="S957" i="1"/>
  <c r="S713" i="1"/>
  <c r="T713" i="1" s="1"/>
  <c r="S740" i="1"/>
  <c r="T740" i="1" s="1"/>
  <c r="S805" i="1"/>
  <c r="T805" i="1" s="1"/>
  <c r="M816" i="1"/>
  <c r="S735" i="1"/>
  <c r="S767" i="1"/>
  <c r="T767" i="1" s="1"/>
  <c r="S782" i="1"/>
  <c r="T782" i="1" s="1"/>
  <c r="O816" i="1"/>
  <c r="S710" i="1"/>
  <c r="T710" i="1" s="1"/>
  <c r="T788" i="1"/>
  <c r="T810" i="1"/>
  <c r="T819" i="1"/>
  <c r="T825" i="1"/>
  <c r="T831" i="1"/>
  <c r="T837" i="1"/>
  <c r="T843" i="1"/>
  <c r="T849" i="1"/>
  <c r="T855" i="1"/>
  <c r="T861" i="1"/>
  <c r="T867" i="1"/>
  <c r="T873" i="1"/>
  <c r="T879" i="1"/>
  <c r="T885" i="1"/>
  <c r="T891" i="1"/>
  <c r="T897" i="1"/>
  <c r="T903" i="1"/>
  <c r="T909" i="1"/>
  <c r="T915" i="1"/>
  <c r="T921" i="1"/>
  <c r="T927" i="1"/>
  <c r="T933" i="1"/>
  <c r="T939" i="1"/>
  <c r="T945" i="1"/>
  <c r="T951" i="1"/>
  <c r="T957" i="1"/>
  <c r="T963" i="1"/>
  <c r="T369" i="1" l="1"/>
  <c r="S816" i="1"/>
  <c r="T385" i="1"/>
  <c r="T7" i="1"/>
  <c r="T816" i="1"/>
  <c r="S595" i="1"/>
  <c r="T595" i="1" s="1"/>
  <c r="U595" i="1"/>
  <c r="S501" i="1"/>
  <c r="T501" i="1" s="1"/>
  <c r="T292" i="1"/>
  <c r="T465" i="1"/>
  <c r="S439" i="1"/>
  <c r="T439" i="1" s="1"/>
  <c r="I414" i="1"/>
  <c r="S414" i="1" s="1"/>
  <c r="T41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40" authorId="0" shapeId="0" xr:uid="{E143C899-4E63-4E8F-9085-DDE7A3CAC13E}">
      <text>
        <r>
          <rPr>
            <sz val="11"/>
            <color theme="1"/>
            <rFont val="Aptos Narrow"/>
            <scheme val="minor"/>
          </rPr>
          <t>======
ID#AAABx6_4oQM
UPTD Instalasi Farmasi Kabupaten Kotawaringin Barat    (2026-01-29 05:47:19)
beda batch, beda harga belum masuk sehingga penerimaan bukan digabung jadi 1</t>
        </r>
      </text>
    </comment>
    <comment ref="L193" authorId="0" shapeId="0" xr:uid="{F4901C67-3B4E-4C6C-BBA3-C84CC6DD36F4}">
      <text>
        <r>
          <rPr>
            <sz val="11"/>
            <color theme="1"/>
            <rFont val="Aptos Narrow"/>
            <scheme val="minor"/>
          </rPr>
          <t>======
ID#AAABx6_4oQo
UPTD Instalasi Farmasi Kabupaten Kotawaringin Barat    (2026-01-29 06:17:40)
0</t>
        </r>
      </text>
    </comment>
    <comment ref="P193" authorId="0" shapeId="0" xr:uid="{F5EF40AD-58F7-4FCE-90AB-12A6B41615A2}">
      <text>
        <r>
          <rPr>
            <sz val="11"/>
            <color theme="1"/>
            <rFont val="Aptos Narrow"/>
            <scheme val="minor"/>
          </rPr>
          <t>======
ID#AAABx6_4oQs
UPTD Instalasi Farmasi Kabupaten Kotawaringin Barat    (2026-01-29 06:18:23)
126</t>
        </r>
      </text>
    </comment>
    <comment ref="B214" authorId="0" shapeId="0" xr:uid="{BFE753EC-EE20-405A-9E73-0A8B0F3C4CE0}">
      <text>
        <r>
          <rPr>
            <sz val="11"/>
            <color theme="1"/>
            <rFont val="Aptos Narrow"/>
            <scheme val="minor"/>
          </rPr>
          <t>======
ID#AAABx6_4oRQ
UPTD Instalasi Farmasi Kabupaten Kotawaringin Barat    (2026-01-29 08:08:13)
Pyrazinamid 500 mg</t>
        </r>
      </text>
    </comment>
    <comment ref="J274" authorId="0" shapeId="0" xr:uid="{5F618A0D-592A-4CA8-8B49-C2B54DCBB067}">
      <text>
        <r>
          <rPr>
            <sz val="11"/>
            <color theme="1"/>
            <rFont val="Aptos Narrow"/>
            <scheme val="minor"/>
          </rPr>
          <t>======
ID#AAABx6_4oRY
UPTD Instalasi Farmasi Kabupaten Kotawaringin Barat    (2026-01-29 08:13:04)
200</t>
        </r>
      </text>
    </comment>
    <comment ref="P274" authorId="0" shapeId="0" xr:uid="{BB427BDA-138F-4EF4-AD08-C2A2F5C6DD33}">
      <text>
        <r>
          <rPr>
            <sz val="11"/>
            <color theme="1"/>
            <rFont val="Aptos Narrow"/>
            <scheme val="minor"/>
          </rPr>
          <t>======
ID#AAABx6_4oRc
UPTD Instalasi Farmasi Kabupaten Kotawaringin Barat    (2026-01-29 08:13:25)
0</t>
        </r>
      </text>
    </comment>
    <comment ref="E302" authorId="0" shapeId="0" xr:uid="{25B97C9D-6A31-4132-B7A3-36FED786205A}">
      <text>
        <r>
          <rPr>
            <sz val="11"/>
            <color theme="1"/>
            <rFont val="Aptos Narrow"/>
            <scheme val="minor"/>
          </rPr>
          <t>FEB -25
======</t>
        </r>
      </text>
    </comment>
    <comment ref="E305" authorId="0" shapeId="0" xr:uid="{F9B26CCD-FA40-43DE-8211-23CD72CFB6E9}">
      <text>
        <r>
          <rPr>
            <sz val="11"/>
            <color theme="1"/>
            <rFont val="Aptos Narrow"/>
            <scheme val="minor"/>
          </rPr>
          <t>MAR -27
======</t>
        </r>
      </text>
    </comment>
    <comment ref="D318" authorId="0" shapeId="0" xr:uid="{88B25FCB-3521-41E6-B2A8-927C00BC3904}">
      <text>
        <r>
          <rPr>
            <sz val="11"/>
            <color theme="1"/>
            <rFont val="Aptos Narrow"/>
            <scheme val="minor"/>
          </rPr>
          <t>66362063-1
======</t>
        </r>
      </text>
    </comment>
    <comment ref="E318" authorId="0" shapeId="0" xr:uid="{CB2201CD-8DD5-4D56-82FC-45B5A59AAB5E}">
      <text>
        <r>
          <rPr>
            <sz val="11"/>
            <color theme="1"/>
            <rFont val="Aptos Narrow"/>
            <scheme val="minor"/>
          </rPr>
          <t>JUL-27
======</t>
        </r>
      </text>
    </comment>
    <comment ref="G318" authorId="0" shapeId="0" xr:uid="{2EBB1C11-DE76-4039-8F99-55BEA393ADDA}">
      <text>
        <r>
          <rPr>
            <sz val="11"/>
            <color theme="1"/>
            <rFont val="Aptos Narrow"/>
            <scheme val="minor"/>
          </rPr>
          <t>DAU
======</t>
        </r>
      </text>
    </comment>
    <comment ref="E319" authorId="0" shapeId="0" xr:uid="{6DADE46F-631C-4BC3-8693-829AE3AC02EB}">
      <text>
        <r>
          <rPr>
            <sz val="11"/>
            <color theme="1"/>
            <rFont val="Aptos Narrow"/>
            <scheme val="minor"/>
          </rPr>
          <t>JUL-27
======</t>
        </r>
      </text>
    </comment>
    <comment ref="D321" authorId="0" shapeId="0" xr:uid="{8EDBAC78-DC47-4B99-A98E-F731F15FFDD5}">
      <text>
        <r>
          <rPr>
            <sz val="11"/>
            <color theme="1"/>
            <rFont val="Aptos Narrow"/>
            <scheme val="minor"/>
          </rPr>
          <t>66362080-2
======</t>
        </r>
      </text>
    </comment>
    <comment ref="E322" authorId="0" shapeId="0" xr:uid="{69CD59CD-6002-4929-8EC2-3555BC87645E}">
      <text>
        <r>
          <rPr>
            <sz val="11"/>
            <color theme="1"/>
            <rFont val="Aptos Narrow"/>
            <scheme val="minor"/>
          </rPr>
          <t>JUL-25
======</t>
        </r>
      </text>
    </comment>
    <comment ref="E324" authorId="0" shapeId="0" xr:uid="{F1CF329B-53A0-4382-921B-C680A90DB417}">
      <text>
        <r>
          <rPr>
            <sz val="11"/>
            <color theme="1"/>
            <rFont val="Aptos Narrow"/>
            <scheme val="minor"/>
          </rPr>
          <t>NOV-26
======</t>
        </r>
      </text>
    </comment>
    <comment ref="E325" authorId="0" shapeId="0" xr:uid="{53659DE1-EEDC-4CF5-9933-16AD63C0D0A2}">
      <text>
        <r>
          <rPr>
            <sz val="11"/>
            <color theme="1"/>
            <rFont val="Aptos Narrow"/>
            <scheme val="minor"/>
          </rPr>
          <t>NOV-25
======</t>
        </r>
      </text>
    </comment>
    <comment ref="E328" authorId="0" shapeId="0" xr:uid="{0423995B-507B-4134-B383-DC4F300CE4D3}">
      <text>
        <r>
          <rPr>
            <sz val="11"/>
            <color theme="1"/>
            <rFont val="Aptos Narrow"/>
            <scheme val="minor"/>
          </rPr>
          <t>2-27
======</t>
        </r>
      </text>
    </comment>
    <comment ref="E329" authorId="0" shapeId="0" xr:uid="{47F6FF2B-F151-4A2C-B50B-3265BB93A30B}">
      <text>
        <r>
          <rPr>
            <sz val="11"/>
            <color theme="1"/>
            <rFont val="Aptos Narrow"/>
            <scheme val="minor"/>
          </rPr>
          <t>JAN-25
======</t>
        </r>
      </text>
    </comment>
    <comment ref="E330" authorId="0" shapeId="0" xr:uid="{4F06ABFB-8F06-488E-823D-E992853D2E1D}">
      <text>
        <r>
          <rPr>
            <sz val="11"/>
            <color theme="1"/>
            <rFont val="Aptos Narrow"/>
            <scheme val="minor"/>
          </rPr>
          <t>JAN-25
======</t>
        </r>
      </text>
    </comment>
    <comment ref="E331" authorId="0" shapeId="0" xr:uid="{6357A5EE-6A4E-44D2-AC2D-BC4FEF8F76F7}">
      <text>
        <r>
          <rPr>
            <sz val="11"/>
            <color theme="1"/>
            <rFont val="Aptos Narrow"/>
            <scheme val="minor"/>
          </rPr>
          <t>FEB-27
======</t>
        </r>
      </text>
    </comment>
    <comment ref="E335" authorId="0" shapeId="0" xr:uid="{1AD5D717-BEB1-4B41-A1E9-AD41F85D0305}">
      <text>
        <r>
          <rPr>
            <sz val="11"/>
            <color theme="1"/>
            <rFont val="Aptos Narrow"/>
            <scheme val="minor"/>
          </rPr>
          <t>SEP-30
======</t>
        </r>
      </text>
    </comment>
    <comment ref="E338" authorId="0" shapeId="0" xr:uid="{44861706-432E-4331-A238-E79404F409D9}">
      <text>
        <r>
          <rPr>
            <sz val="11"/>
            <color theme="1"/>
            <rFont val="Aptos Narrow"/>
            <scheme val="minor"/>
          </rPr>
          <t>JUL-27
======</t>
        </r>
      </text>
    </comment>
    <comment ref="E340" authorId="0" shapeId="0" xr:uid="{8B53697E-93BC-4981-9010-EAC49A3102F9}">
      <text>
        <r>
          <rPr>
            <sz val="11"/>
            <color theme="1"/>
            <rFont val="Aptos Narrow"/>
            <scheme val="minor"/>
          </rPr>
          <t>JAN-27
======</t>
        </r>
      </text>
    </comment>
    <comment ref="E342" authorId="0" shapeId="0" xr:uid="{E5C99E69-E5FB-4F72-8908-A3EB11B86C29}">
      <text>
        <r>
          <rPr>
            <sz val="11"/>
            <color theme="1"/>
            <rFont val="Aptos Narrow"/>
            <scheme val="minor"/>
          </rPr>
          <t>JUN-25
======</t>
        </r>
      </text>
    </comment>
    <comment ref="E345" authorId="0" shapeId="0" xr:uid="{A4DFC2B9-56E2-44A5-9251-CEEB8198783C}">
      <text>
        <r>
          <rPr>
            <sz val="11"/>
            <color theme="1"/>
            <rFont val="Aptos Narrow"/>
            <scheme val="minor"/>
          </rPr>
          <t>SEP-27
======</t>
        </r>
      </text>
    </comment>
    <comment ref="J345" authorId="0" shapeId="0" xr:uid="{819407D4-16BF-4F21-ACCA-D56E309B486E}">
      <text>
        <r>
          <rPr>
            <sz val="11"/>
            <color theme="1"/>
            <rFont val="Aptos Narrow"/>
            <scheme val="minor"/>
          </rPr>
          <t>TERIMA 900
======</t>
        </r>
      </text>
    </comment>
    <comment ref="E346" authorId="0" shapeId="0" xr:uid="{840ECFA2-888A-4FE4-B53B-A7F43F2D1AEF}">
      <text>
        <r>
          <rPr>
            <sz val="11"/>
            <color theme="1"/>
            <rFont val="Aptos Narrow"/>
            <scheme val="minor"/>
          </rPr>
          <t>JUN-27
======</t>
        </r>
      </text>
    </comment>
    <comment ref="E349" authorId="0" shapeId="0" xr:uid="{CF72CED4-1968-45CF-A482-D423AD672398}">
      <text>
        <r>
          <rPr>
            <sz val="11"/>
            <color theme="1"/>
            <rFont val="Aptos Narrow"/>
            <scheme val="minor"/>
          </rPr>
          <t>======
ID#AAABx6_4oRA
UPTD Instalasi Farmasi Kabupaten Kotawaringin Barat    (2026-01-29 08:00:09)
09/25</t>
        </r>
      </text>
    </comment>
    <comment ref="E496" authorId="0" shapeId="0" xr:uid="{A3E05BFD-EA22-4AEB-9B80-36B55B4A88A7}">
      <text>
        <r>
          <rPr>
            <sz val="11"/>
            <color theme="1"/>
            <rFont val="Aptos Narrow"/>
            <scheme val="minor"/>
          </rPr>
          <t>6/29
======</t>
        </r>
      </text>
    </comment>
    <comment ref="D625" authorId="0" shapeId="0" xr:uid="{AB544E8E-49F8-4CD7-8BC4-E05A07135096}">
      <text>
        <r>
          <rPr>
            <sz val="11"/>
            <color theme="1"/>
            <rFont val="Aptos Narrow"/>
            <scheme val="minor"/>
          </rPr>
          <t>251319
======</t>
        </r>
      </text>
    </comment>
    <comment ref="E655" authorId="0" shapeId="0" xr:uid="{6BAA8BD4-F0DE-4557-8BCB-743DDAA48D3E}">
      <text>
        <r>
          <rPr>
            <sz val="11"/>
            <color theme="1"/>
            <rFont val="Aptos Narrow"/>
            <scheme val="minor"/>
          </rPr>
          <t>1/30
======</t>
        </r>
      </text>
    </comment>
    <comment ref="E656" authorId="0" shapeId="0" xr:uid="{D2D6C2C1-3CD7-4FD4-B457-85D082EDD4DD}">
      <text>
        <r>
          <rPr>
            <sz val="11"/>
            <color theme="1"/>
            <rFont val="Aptos Narrow"/>
            <scheme val="minor"/>
          </rPr>
          <t>1/29
======</t>
        </r>
      </text>
    </comment>
    <comment ref="E668" authorId="0" shapeId="0" xr:uid="{FD734E5C-4535-412F-B00C-F4B112FBFA11}">
      <text>
        <r>
          <rPr>
            <sz val="11"/>
            <color theme="1"/>
            <rFont val="Aptos Narrow"/>
            <scheme val="minor"/>
          </rPr>
          <t>3/28
======</t>
        </r>
      </text>
    </comment>
    <comment ref="L728" authorId="0" shapeId="0" xr:uid="{4FE808EF-BE70-4C95-913B-017425717216}">
      <text>
        <r>
          <rPr>
            <sz val="11"/>
            <color theme="1"/>
            <rFont val="Aptos Narrow"/>
            <scheme val="minor"/>
          </rPr>
          <t>======
ID#AAABx6_4oQU
UPTD Instalasi Farmasi Kabupaten Kotawaringin Barat    (2026-01-29 06:11:36)
860</t>
        </r>
      </text>
    </comment>
    <comment ref="P728" authorId="0" shapeId="0" xr:uid="{4505332A-0DAC-43C0-BBF8-EF42598D385C}">
      <text>
        <r>
          <rPr>
            <sz val="11"/>
            <color theme="1"/>
            <rFont val="Aptos Narrow"/>
            <scheme val="minor"/>
          </rPr>
          <t>======
ID#AAABx6_4oQY
UPTD Instalasi Farmasi Kabupaten Kotawaringin Barat    (2026-01-29 06:11:53)
240</t>
        </r>
      </text>
    </comment>
    <comment ref="G754" authorId="0" shapeId="0" xr:uid="{0913402F-7C15-43DA-A59E-399BDAD4C911}">
      <text>
        <r>
          <rPr>
            <sz val="11"/>
            <color theme="1"/>
            <rFont val="Aptos Narrow"/>
            <scheme val="minor"/>
          </rPr>
          <t>HIBAH
======</t>
        </r>
      </text>
    </comment>
    <comment ref="D777" authorId="0" shapeId="0" xr:uid="{AD91AC93-1E9C-4D12-82BC-E7D23DF72964}">
      <text>
        <r>
          <rPr>
            <sz val="11"/>
            <color theme="1"/>
            <rFont val="Aptos Narrow"/>
            <scheme val="minor"/>
          </rPr>
          <t>57002936
======</t>
        </r>
      </text>
    </comment>
    <comment ref="E777" authorId="0" shapeId="0" xr:uid="{93E2805E-E94E-4885-8B12-0ADF43303465}">
      <text>
        <r>
          <rPr>
            <sz val="11"/>
            <color theme="1"/>
            <rFont val="Aptos Narrow"/>
            <scheme val="minor"/>
          </rPr>
          <t>9/26
======</t>
        </r>
      </text>
    </comment>
    <comment ref="F777" authorId="0" shapeId="0" xr:uid="{153B3E11-934E-4A20-8DB6-360BB07D3799}">
      <text>
        <r>
          <rPr>
            <sz val="11"/>
            <color theme="1"/>
            <rFont val="Aptos Narrow"/>
            <scheme val="minor"/>
          </rPr>
          <t>5084,40
======</t>
        </r>
      </text>
    </comment>
    <comment ref="G777" authorId="0" shapeId="0" xr:uid="{BD41EF0F-ACB9-4865-84E3-FC7E50DDEC5A}">
      <text>
        <r>
          <rPr>
            <sz val="11"/>
            <color theme="1"/>
            <rFont val="Aptos Narrow"/>
            <scheme val="minor"/>
          </rPr>
          <t>REFOCUSING
======</t>
        </r>
      </text>
    </comment>
    <comment ref="D778" authorId="0" shapeId="0" xr:uid="{EF617F85-2CF5-46E8-9501-2A165ECE6208}">
      <text>
        <r>
          <rPr>
            <sz val="11"/>
            <color theme="1"/>
            <rFont val="Aptos Narrow"/>
            <scheme val="minor"/>
          </rPr>
          <t>57002970
======</t>
        </r>
      </text>
    </comment>
    <comment ref="F778" authorId="0" shapeId="0" xr:uid="{CDD1425B-55D5-43B1-B375-5B4D9708F66A}">
      <text>
        <r>
          <rPr>
            <sz val="11"/>
            <color theme="1"/>
            <rFont val="Aptos Narrow"/>
            <scheme val="minor"/>
          </rPr>
          <t>5000
======</t>
        </r>
      </text>
    </comment>
    <comment ref="G778" authorId="0" shapeId="0" xr:uid="{DEECA5CB-1280-4373-A217-2234B6D366E2}">
      <text>
        <r>
          <rPr>
            <sz val="11"/>
            <color theme="1"/>
            <rFont val="Aptos Narrow"/>
            <scheme val="minor"/>
          </rPr>
          <t>REFOCUSING
======</t>
        </r>
      </text>
    </comment>
    <comment ref="F779" authorId="0" shapeId="0" xr:uid="{44213F38-E131-49ED-BBD7-04CAE16A2113}">
      <text>
        <r>
          <rPr>
            <sz val="11"/>
            <color theme="1"/>
            <rFont val="Aptos Narrow"/>
            <scheme val="minor"/>
          </rPr>
          <t>5084,40
======</t>
        </r>
      </text>
    </comment>
    <comment ref="F780" authorId="0" shapeId="0" xr:uid="{9F15EB73-F609-4203-BB1D-135166301173}">
      <text>
        <r>
          <rPr>
            <sz val="11"/>
            <color theme="1"/>
            <rFont val="Aptos Narrow"/>
            <scheme val="minor"/>
          </rPr>
          <t>5000
======</t>
        </r>
      </text>
    </comment>
    <comment ref="F781" authorId="0" shapeId="0" xr:uid="{3F3BF8E8-EA76-46AF-AA15-D55A1F0A4BE3}">
      <text>
        <r>
          <rPr>
            <sz val="11"/>
            <color theme="1"/>
            <rFont val="Aptos Narrow"/>
            <scheme val="minor"/>
          </rPr>
          <t>8580
======</t>
        </r>
      </text>
    </comment>
    <comment ref="F782" authorId="0" shapeId="0" xr:uid="{321C8238-9426-4269-A22F-874CBB25CE18}">
      <text>
        <r>
          <rPr>
            <sz val="11"/>
            <color theme="1"/>
            <rFont val="Aptos Narrow"/>
            <scheme val="minor"/>
          </rPr>
          <t>9500
======</t>
        </r>
      </text>
    </comment>
    <comment ref="F783" authorId="0" shapeId="0" xr:uid="{CEF3DF90-4517-4A5D-A0DE-0A6C9A81ED24}">
      <text>
        <r>
          <rPr>
            <sz val="11"/>
            <color theme="1"/>
            <rFont val="Aptos Narrow"/>
            <scheme val="minor"/>
          </rPr>
          <t>8580
======</t>
        </r>
      </text>
    </comment>
    <comment ref="F784" authorId="0" shapeId="0" xr:uid="{767A081E-4134-4B83-BB3E-B6DBC546F74E}">
      <text>
        <r>
          <rPr>
            <sz val="11"/>
            <color theme="1"/>
            <rFont val="Aptos Narrow"/>
            <scheme val="minor"/>
          </rPr>
          <t>1486,16
======</t>
        </r>
      </text>
    </comment>
    <comment ref="F785" authorId="0" shapeId="0" xr:uid="{465CBF9D-16C1-403B-B4A0-70EF0C4411D5}">
      <text>
        <r>
          <rPr>
            <sz val="11"/>
            <color theme="1"/>
            <rFont val="Aptos Narrow"/>
            <scheme val="minor"/>
          </rPr>
          <t>1736,82
======</t>
        </r>
      </text>
    </comment>
    <comment ref="F786" authorId="0" shapeId="0" xr:uid="{A7133488-F52E-46DE-B114-58CDB5995EC5}">
      <text>
        <r>
          <rPr>
            <sz val="11"/>
            <color theme="1"/>
            <rFont val="Aptos Narrow"/>
            <scheme val="minor"/>
          </rPr>
          <t>1512,34
======</t>
        </r>
      </text>
    </comment>
    <comment ref="F787" authorId="0" shapeId="0" xr:uid="{E320B1A7-7886-4111-B327-90B4B6CB034A}">
      <text>
        <r>
          <rPr>
            <sz val="11"/>
            <color theme="1"/>
            <rFont val="Aptos Narrow"/>
            <scheme val="minor"/>
          </rPr>
          <t>1512,34
======</t>
        </r>
      </text>
    </comment>
    <comment ref="F788" authorId="0" shapeId="0" xr:uid="{DE5E0F35-8026-49C7-AF79-7A02E202CD5F}">
      <text>
        <r>
          <rPr>
            <sz val="11"/>
            <color theme="1"/>
            <rFont val="Aptos Narrow"/>
            <scheme val="minor"/>
          </rPr>
          <t>1512,34
======</t>
        </r>
      </text>
    </comment>
    <comment ref="F789" authorId="0" shapeId="0" xr:uid="{C3F47D7D-563E-4D5C-8EE6-9231476C3666}">
      <text>
        <r>
          <rPr>
            <sz val="11"/>
            <color theme="1"/>
            <rFont val="Aptos Narrow"/>
            <scheme val="minor"/>
          </rPr>
          <t>8938
======</t>
        </r>
      </text>
    </comment>
    <comment ref="E790" authorId="0" shapeId="0" xr:uid="{3E4C069D-0E4A-4589-8AFC-B1B2B5AF6914}">
      <text>
        <r>
          <rPr>
            <sz val="11"/>
            <color theme="1"/>
            <rFont val="Aptos Narrow"/>
            <scheme val="minor"/>
          </rPr>
          <t>1/28
======</t>
        </r>
      </text>
    </comment>
    <comment ref="E791" authorId="0" shapeId="0" xr:uid="{AB114689-1AE5-4C58-9F1F-4E67F01638FF}">
      <text>
        <r>
          <rPr>
            <sz val="11"/>
            <color theme="1"/>
            <rFont val="Aptos Narrow"/>
            <scheme val="minor"/>
          </rPr>
          <t>6/25
======</t>
        </r>
      </text>
    </comment>
    <comment ref="J825" authorId="0" shapeId="0" xr:uid="{97C1571A-7645-4660-AA4B-49FBB237858A}">
      <text>
        <r>
          <rPr>
            <sz val="11"/>
            <color theme="1"/>
            <rFont val="Aptos Narrow"/>
            <scheme val="minor"/>
          </rPr>
          <t>======
ID#AAABx6_4oOY
UPTD Instalasi Farmasi Kabupaten Kotawaringin Barat    (2026-01-29 02:28:59)
22</t>
        </r>
      </text>
    </comment>
    <comment ref="E829" authorId="0" shapeId="0" xr:uid="{0359B67A-6208-4A10-94AA-D3C1FC833270}">
      <text>
        <r>
          <rPr>
            <sz val="11"/>
            <color theme="1"/>
            <rFont val="Aptos Narrow"/>
            <scheme val="minor"/>
          </rPr>
          <t>======
ID#AAABx6_4oPQ
UPTD Instalasi Farmasi Kabupaten Kotawaringin Barat    (2026-01-29 03:40:18)
11/25</t>
        </r>
      </text>
    </comment>
    <comment ref="B834" authorId="0" shapeId="0" xr:uid="{CEC2105C-68FD-4C7D-946F-904E156FFC20}">
      <text>
        <r>
          <rPr>
            <sz val="11"/>
            <color theme="1"/>
            <rFont val="Aptos Narrow"/>
            <scheme val="minor"/>
          </rPr>
          <t>======
ID#AAABx6_4oPM
UPTD Instalasi Farmasi Kabupaten Kotawaringin Barat    (2026-01-29 03:37:11)
ada cellpack harga sama, batch sama, jumlah terima sama, sumber dana DAU SG blm masuk penerimaan</t>
        </r>
      </text>
    </comment>
    <comment ref="E853" authorId="0" shapeId="0" xr:uid="{3192B3F4-4EBE-4061-A442-D8395664C0E9}">
      <text>
        <r>
          <rPr>
            <sz val="11"/>
            <color theme="1"/>
            <rFont val="Aptos Narrow"/>
            <scheme val="minor"/>
          </rPr>
          <t>======
ID#AAABx6_4oRI
UPTD Instalasi Farmasi Kabupaten Kotawaringin Barat    (2026-01-29 08:03:23)
06/28</t>
        </r>
      </text>
    </comment>
    <comment ref="E857" authorId="0" shapeId="0" xr:uid="{DC601F00-EAC5-4F41-BCEA-3EBA1F293DD4}">
      <text>
        <r>
          <rPr>
            <sz val="11"/>
            <color theme="1"/>
            <rFont val="Aptos Narrow"/>
            <scheme val="minor"/>
          </rPr>
          <t>======
ID#AAABx6_4oRM
UPTD Instalasi Farmasi Kabupaten Kotawaringin Barat    (2026-01-29 08:04:38)
07/30</t>
        </r>
      </text>
    </comment>
    <comment ref="L860" authorId="0" shapeId="0" xr:uid="{4EF66297-B935-4E9A-A9EA-452FEDAAB882}">
      <text>
        <r>
          <rPr>
            <sz val="11"/>
            <color theme="1"/>
            <rFont val="Aptos Narrow"/>
            <scheme val="minor"/>
          </rPr>
          <t>======
ID#AAABx6_4oPE
UPTD Instalasi Farmasi Kabupaten Kotawaringin Barat    (2026-01-29 03:28:06)
0</t>
        </r>
      </text>
    </comment>
    <comment ref="N860" authorId="0" shapeId="0" xr:uid="{428CEBC1-C751-4697-A578-5C5247B7176F}">
      <text>
        <r>
          <rPr>
            <sz val="11"/>
            <color theme="1"/>
            <rFont val="Aptos Narrow"/>
            <scheme val="minor"/>
          </rPr>
          <t>======
ID#AAABx6_4oPI
UPTD Instalasi Farmasi Kabupaten Kotawaringin Barat    (2026-01-29 03:28:16)
100</t>
        </r>
      </text>
    </comment>
    <comment ref="C886" authorId="0" shapeId="0" xr:uid="{3CF70267-DC0E-4AA3-8006-2E776FEA1F27}">
      <text>
        <r>
          <rPr>
            <sz val="11"/>
            <color theme="1"/>
            <rFont val="Aptos Narrow"/>
            <scheme val="minor"/>
          </rPr>
          <t>======
ID#AAABx6_4oOQ
UPTD Instalasi Farmasi Kabupaten Kotawaringin Barat    (2026-01-29 02:17:49)
Satuan Kotak</t>
        </r>
      </text>
    </comment>
    <comment ref="F886" authorId="0" shapeId="0" xr:uid="{89848758-36A6-4B24-B844-C3601600D514}">
      <text>
        <r>
          <rPr>
            <sz val="11"/>
            <color theme="1"/>
            <rFont val="Aptos Narrow"/>
            <scheme val="minor"/>
          </rPr>
          <t>======
ID#AAABx6_4oOU
UPTD Instalasi Farmasi Kabupaten Kotawaringin Barat    (2026-01-29 02:18:27)
Harga Perkotak 180.500</t>
        </r>
      </text>
    </comment>
    <comment ref="L906" authorId="0" shapeId="0" xr:uid="{8D77D31A-1225-4115-9DC6-D029C21AA211}">
      <text>
        <r>
          <rPr>
            <sz val="11"/>
            <color theme="1"/>
            <rFont val="Aptos Narrow"/>
            <scheme val="minor"/>
          </rPr>
          <t>======
ID#AAABx6_4oOs
UPTD Instalasi Farmasi Kabupaten Kotawaringin Barat    (2026-01-29 03:00:25)
2</t>
        </r>
      </text>
    </comment>
    <comment ref="N906" authorId="0" shapeId="0" xr:uid="{70086B25-EB87-438A-81C9-681B1568C145}">
      <text>
        <r>
          <rPr>
            <sz val="11"/>
            <color theme="1"/>
            <rFont val="Aptos Narrow"/>
            <scheme val="minor"/>
          </rPr>
          <t>======
ID#AAABx6_4oOw
UPTD Instalasi Farmasi Kabupaten Kotawaringin Barat    (2026-01-29 03:00:34)
11</t>
        </r>
      </text>
    </comment>
    <comment ref="L908" authorId="0" shapeId="0" xr:uid="{0B800B40-ABF5-4407-8A94-B60BBEB07306}">
      <text>
        <r>
          <rPr>
            <sz val="11"/>
            <color theme="1"/>
            <rFont val="Aptos Narrow"/>
            <scheme val="minor"/>
          </rPr>
          <t>======
ID#AAABx6_4oOc
UPTD Instalasi Farmasi Kabupaten Kotawaringin Barat    (2026-01-29 02:42:08)
1</t>
        </r>
      </text>
    </comment>
    <comment ref="N908" authorId="0" shapeId="0" xr:uid="{36BA7CAA-C1C5-4A49-9EE6-BE780A682970}">
      <text>
        <r>
          <rPr>
            <sz val="11"/>
            <color theme="1"/>
            <rFont val="Aptos Narrow"/>
            <scheme val="minor"/>
          </rPr>
          <t>======
ID#AAABx6_4oOg
UPTD Instalasi Farmasi Kabupaten Kotawaringin Barat    (2026-01-29 02:42:23)
2</t>
        </r>
      </text>
    </comment>
    <comment ref="L909" authorId="0" shapeId="0" xr:uid="{85C85F6F-5A23-4E5E-B15D-189A3E1D7C1E}">
      <text>
        <r>
          <rPr>
            <sz val="11"/>
            <color theme="1"/>
            <rFont val="Aptos Narrow"/>
            <scheme val="minor"/>
          </rPr>
          <t>======
ID#AAABx6_4oOk
UPTD Instalasi Farmasi Kabupaten Kotawaringin Barat    (2026-01-29 02:58:48)
1</t>
        </r>
      </text>
    </comment>
    <comment ref="N909" authorId="0" shapeId="0" xr:uid="{65325282-18EE-47F5-93EC-0D0AF9BFE8B4}">
      <text>
        <r>
          <rPr>
            <sz val="11"/>
            <color theme="1"/>
            <rFont val="Aptos Narrow"/>
            <scheme val="minor"/>
          </rPr>
          <t>======
ID#AAABx6_4oOo
UPTD Instalasi Farmasi Kabupaten Kotawaringin Barat    (2026-01-29 02:58:56)
3</t>
        </r>
      </text>
    </comment>
    <comment ref="D911" authorId="0" shapeId="0" xr:uid="{12D0BCBF-B9F9-4EF5-9B73-CD50DBE30FEB}">
      <text>
        <r>
          <rPr>
            <sz val="11"/>
            <color theme="1"/>
            <rFont val="Aptos Narrow"/>
            <scheme val="minor"/>
          </rPr>
          <t>======
ID#AAABx6_4oO0
UPTD Instalasi Farmasi Kabupaten Kotawaringin Barat    (2026-01-29 03:04:35)
323276-41123832</t>
        </r>
      </text>
    </comment>
    <comment ref="N915" authorId="0" shapeId="0" xr:uid="{AECEF839-4940-4EC7-8E6B-C8BA49172E16}">
      <text>
        <r>
          <rPr>
            <sz val="11"/>
            <color theme="1"/>
            <rFont val="Aptos Narrow"/>
            <scheme val="minor"/>
          </rPr>
          <t>======
ID#AAABx6_4oO4
UPTD Instalasi Farmasi Kabupaten Kotawaringin Barat    (2026-01-29 03:08:13)
13</t>
        </r>
      </text>
    </comment>
    <comment ref="P915" authorId="0" shapeId="0" xr:uid="{F5DD0B8B-B43C-4D85-94B7-47232D088A73}">
      <text>
        <r>
          <rPr>
            <sz val="11"/>
            <color theme="1"/>
            <rFont val="Aptos Narrow"/>
            <scheme val="minor"/>
          </rPr>
          <t>======
ID#AAABx6_4oO8
UPTD Instalasi Farmasi Kabupaten Kotawaringin Barat    (2026-01-29 03:08:35)
0</t>
        </r>
      </text>
    </comment>
    <comment ref="E916" authorId="0" shapeId="0" xr:uid="{93A7374A-DC89-406F-8BAD-7D5E286143EF}">
      <text>
        <r>
          <rPr>
            <sz val="11"/>
            <color theme="1"/>
            <rFont val="Aptos Narrow"/>
            <scheme val="minor"/>
          </rPr>
          <t>======
ID#AAABx6_4oRU
UPTD Instalasi Farmasi Kabupaten Kotawaringin Barat    (2026-01-29 08:09:46)
06/25</t>
        </r>
      </text>
    </comment>
    <comment ref="L955" authorId="0" shapeId="0" xr:uid="{ACC970FE-4124-4969-908F-009A85489A69}">
      <text>
        <r>
          <rPr>
            <sz val="11"/>
            <color theme="1"/>
            <rFont val="Aptos Narrow"/>
            <scheme val="minor"/>
          </rPr>
          <t>======
ID#AAABx6_4oR0
UPTD Instalasi Farmasi Kabupaten Kotawaringin Barat    (2026-01-29 08:27:43)
1750</t>
        </r>
      </text>
    </comment>
    <comment ref="P955" authorId="0" shapeId="0" xr:uid="{2BD122FF-7317-4464-9EAF-EE1296B3068C}">
      <text>
        <r>
          <rPr>
            <sz val="11"/>
            <color theme="1"/>
            <rFont val="Aptos Narrow"/>
            <scheme val="minor"/>
          </rPr>
          <t>======
ID#AAABx6_4oR4
UPTD Instalasi Farmasi Kabupaten Kotawaringin Barat    (2026-01-29 08:27:58)
0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<sst xmlns="http://schemas.openxmlformats.org/spreadsheetml/2006/main" count="3860" uniqueCount="1217">
  <si>
    <t>LAPORAN PERSEDIAAN INSTALASI FARMASI TAHUN 2025</t>
  </si>
  <si>
    <t>No</t>
  </si>
  <si>
    <t>Obat dan Perbekkes</t>
  </si>
  <si>
    <t>Satuan</t>
  </si>
  <si>
    <t>Batch</t>
  </si>
  <si>
    <t>ED</t>
  </si>
  <si>
    <t>Harga Satuan</t>
  </si>
  <si>
    <t>SUMBER DANA</t>
  </si>
  <si>
    <t>Saldo Awal Semester 1</t>
  </si>
  <si>
    <t>Rekapitulasi Logistik</t>
  </si>
  <si>
    <t>Saldo Akhir 2025</t>
  </si>
  <si>
    <t>Total Terima 2025</t>
  </si>
  <si>
    <t>Total Keluar 2025</t>
  </si>
  <si>
    <t>Total Keluar ED/Rusak 2025</t>
  </si>
  <si>
    <t>Jumlah</t>
  </si>
  <si>
    <t>Nilai</t>
  </si>
  <si>
    <t>TABLET</t>
  </si>
  <si>
    <t>APBD</t>
  </si>
  <si>
    <t>SILPA DAU SG</t>
  </si>
  <si>
    <t>no</t>
  </si>
  <si>
    <t>namaBarang</t>
  </si>
  <si>
    <t>satuan</t>
  </si>
  <si>
    <t>batch</t>
  </si>
  <si>
    <t>ed</t>
  </si>
  <si>
    <t>hargaSatuan</t>
  </si>
  <si>
    <t>sumberDana</t>
  </si>
  <si>
    <t>qtySaldoAwalSem1</t>
  </si>
  <si>
    <t>nomSaldoAwalSem1</t>
  </si>
  <si>
    <t>qtyTerima2025</t>
  </si>
  <si>
    <t>nomTerima2025</t>
  </si>
  <si>
    <t>qtyDist2025</t>
  </si>
  <si>
    <t>nomDist2025</t>
  </si>
  <si>
    <t>qtyEd2025</t>
  </si>
  <si>
    <t>nomEd2025</t>
  </si>
  <si>
    <t>qtySaldoAkhir2025</t>
  </si>
  <si>
    <t>nomSaldoAkhir2025</t>
  </si>
  <si>
    <t>PAD YANG SAH</t>
  </si>
  <si>
    <t>3TC (150) [P]</t>
  </si>
  <si>
    <t>Btl</t>
  </si>
  <si>
    <t>B40484J</t>
  </si>
  <si>
    <t>HIBAH</t>
  </si>
  <si>
    <t>DAU SG</t>
  </si>
  <si>
    <t>840484J</t>
  </si>
  <si>
    <t>DAU</t>
  </si>
  <si>
    <t>ABC (300) [P]</t>
  </si>
  <si>
    <t>SILPA DAU</t>
  </si>
  <si>
    <t>Albendazole 400 mg [P]</t>
  </si>
  <si>
    <t>Tablet</t>
  </si>
  <si>
    <t>REFOCUSING</t>
  </si>
  <si>
    <t>PENDAPATAN BAGI HASIL</t>
  </si>
  <si>
    <t>DID</t>
  </si>
  <si>
    <t>Alopurinol 100 mg</t>
  </si>
  <si>
    <t>Tab</t>
  </si>
  <si>
    <t>A41322</t>
  </si>
  <si>
    <t>DAK</t>
  </si>
  <si>
    <t>PROGRAM</t>
  </si>
  <si>
    <t>A50174</t>
  </si>
  <si>
    <t>A50185</t>
  </si>
  <si>
    <t>HTAL0C53376</t>
  </si>
  <si>
    <t>HTAL0C53377</t>
  </si>
  <si>
    <t>DAK NON FISIK</t>
  </si>
  <si>
    <t>HTAL0C53380</t>
  </si>
  <si>
    <t>HTAL0C54388</t>
  </si>
  <si>
    <t>KTAL0C54041</t>
  </si>
  <si>
    <t>Alopurinol 300 mg</t>
  </si>
  <si>
    <t>HTAL0D54407</t>
  </si>
  <si>
    <t>BTT</t>
  </si>
  <si>
    <t>Ambroksol 30 mg</t>
  </si>
  <si>
    <t>E25090</t>
  </si>
  <si>
    <t>DONASI</t>
  </si>
  <si>
    <t>Amitriptilin 25 mg [P]</t>
  </si>
  <si>
    <t>22AT1005</t>
  </si>
  <si>
    <t>A01421CB</t>
  </si>
  <si>
    <t>Amlodipin 10 mg</t>
  </si>
  <si>
    <t>ES25034</t>
  </si>
  <si>
    <t>ES25035</t>
  </si>
  <si>
    <t>25FLN216B</t>
  </si>
  <si>
    <t>25FLN219G</t>
  </si>
  <si>
    <t>Amlodipin 5 mg</t>
  </si>
  <si>
    <t>23TG061</t>
  </si>
  <si>
    <t>A50130N</t>
  </si>
  <si>
    <t>D50508N</t>
  </si>
  <si>
    <t>Amoksisilin 250 mg</t>
  </si>
  <si>
    <t>AC24E001</t>
  </si>
  <si>
    <t>Amoksisilin 500 mg</t>
  </si>
  <si>
    <t>HH01H006</t>
  </si>
  <si>
    <t>TPC52152</t>
  </si>
  <si>
    <t>TPC29653</t>
  </si>
  <si>
    <t>Antasida kombinasi</t>
  </si>
  <si>
    <t>A40902</t>
  </si>
  <si>
    <t>A41245</t>
  </si>
  <si>
    <t>Asam asetilsalisilat 80 mg</t>
  </si>
  <si>
    <t>A30805</t>
  </si>
  <si>
    <t>Asam folat 1 mg</t>
  </si>
  <si>
    <t>Asam mefenamat 500 mg</t>
  </si>
  <si>
    <t>A40524</t>
  </si>
  <si>
    <t>TMECB50765</t>
  </si>
  <si>
    <t>TMECB50777</t>
  </si>
  <si>
    <t>Asiklovir 200 mg</t>
  </si>
  <si>
    <t>A01310FA</t>
  </si>
  <si>
    <t>Asiklovir 400 mg</t>
  </si>
  <si>
    <t>HTACVE35149</t>
  </si>
  <si>
    <t>HIACVE35152</t>
  </si>
  <si>
    <t>HTACVE45260</t>
  </si>
  <si>
    <t>Attapulgit 600 mg</t>
  </si>
  <si>
    <t>H24060</t>
  </si>
  <si>
    <t>Betahistin 6 mg</t>
  </si>
  <si>
    <t>55F0508</t>
  </si>
  <si>
    <t>Bedaquilline (Bdq) 100 mg Tablet [P]</t>
  </si>
  <si>
    <t>TMC23167</t>
  </si>
  <si>
    <t>Bedaquiline ( Bdq) 100 mg Tablet (P)</t>
  </si>
  <si>
    <t>TMC23189</t>
  </si>
  <si>
    <t>Ciprofloxacin 500 mg</t>
  </si>
  <si>
    <t>HTCFXC51268</t>
  </si>
  <si>
    <t>HTCFXC51275</t>
  </si>
  <si>
    <t>HTCFXC51276</t>
  </si>
  <si>
    <t>Clofazimin (Cfz) 100 mg Kapsul [P]</t>
  </si>
  <si>
    <t>MS6596</t>
  </si>
  <si>
    <t>Deksametason 0,5 mg</t>
  </si>
  <si>
    <t>DHP Tablet [P]</t>
  </si>
  <si>
    <t>Kotak</t>
  </si>
  <si>
    <t>SQ230701</t>
  </si>
  <si>
    <t>Dimenhidrinat 50 mg</t>
  </si>
  <si>
    <t>B40072N</t>
  </si>
  <si>
    <t>Domperidon 10 mg</t>
  </si>
  <si>
    <t>HTDPDB51205</t>
  </si>
  <si>
    <t>DTG (50) [P]</t>
  </si>
  <si>
    <t>DG0081</t>
  </si>
  <si>
    <t>E10051</t>
  </si>
  <si>
    <t>EL0021</t>
  </si>
  <si>
    <t>EI0051</t>
  </si>
  <si>
    <t>Etambuthol 400 mg [P]</t>
  </si>
  <si>
    <t>NEF2101G</t>
  </si>
  <si>
    <t>SL514</t>
  </si>
  <si>
    <t>SL513</t>
  </si>
  <si>
    <t>SL515</t>
  </si>
  <si>
    <t>Ethionamid 250 mg [P]</t>
  </si>
  <si>
    <t>ETAH139</t>
  </si>
  <si>
    <t>Fluconazol 150 mg [P]</t>
  </si>
  <si>
    <t>B40609J</t>
  </si>
  <si>
    <t>K27G584</t>
  </si>
  <si>
    <t>Fenitoin 100 mg</t>
  </si>
  <si>
    <t>C24008D</t>
  </si>
  <si>
    <t>Furosemid 40 mg</t>
  </si>
  <si>
    <t>A00447DB</t>
  </si>
  <si>
    <t>CN00Y</t>
  </si>
  <si>
    <t>Garam oralit kombinasi</t>
  </si>
  <si>
    <t>Sak</t>
  </si>
  <si>
    <t>G31201N</t>
  </si>
  <si>
    <t>4637208CC</t>
  </si>
  <si>
    <t>7637060CC</t>
  </si>
  <si>
    <t>Glibenklamid  5 mg</t>
  </si>
  <si>
    <t>1HC116</t>
  </si>
  <si>
    <t>1RC174</t>
  </si>
  <si>
    <t>Glimepirid 1 mg</t>
  </si>
  <si>
    <t>54C0772</t>
  </si>
  <si>
    <t>54B4214</t>
  </si>
  <si>
    <t>Glimepirid 2 mg</t>
  </si>
  <si>
    <t>54F4176</t>
  </si>
  <si>
    <t>55B4203</t>
  </si>
  <si>
    <t>Griseofulvin (micronized) 125 mg</t>
  </si>
  <si>
    <t>NG11H002</t>
  </si>
  <si>
    <t>Haloperidol 5 mg [P]</t>
  </si>
  <si>
    <t>A02005EB</t>
  </si>
  <si>
    <t>A02006FB</t>
  </si>
  <si>
    <t>Hidroklorotiazid 25 mg</t>
  </si>
  <si>
    <t>C11731BJ</t>
  </si>
  <si>
    <t>C20111BJ</t>
  </si>
  <si>
    <t>Hiosina butilbromida 10 mg</t>
  </si>
  <si>
    <t>HR (50/750) mg [P]</t>
  </si>
  <si>
    <t>NRT2367B</t>
  </si>
  <si>
    <t>A310705</t>
  </si>
  <si>
    <t>AA01007</t>
  </si>
  <si>
    <t>Ibuprofen 200 mg</t>
  </si>
  <si>
    <t>A07901BB</t>
  </si>
  <si>
    <t>Ibuprofen 400 mg</t>
  </si>
  <si>
    <t>Isoniazid (H) 300 mg Tablet [P]</t>
  </si>
  <si>
    <t>Isoniazid ( H ) 100 mg Tablet [P]</t>
  </si>
  <si>
    <t>NID2314A</t>
  </si>
  <si>
    <t>B40463N</t>
  </si>
  <si>
    <t>Isoniazid (H) 300 mg/ Rifapentine (P) 300 mg [P]</t>
  </si>
  <si>
    <t>AA02123</t>
  </si>
  <si>
    <t>NIE2456A</t>
  </si>
  <si>
    <t>Isosorbid dinitrat 5 mg</t>
  </si>
  <si>
    <t>IHG096</t>
  </si>
  <si>
    <t>Kalsium Karbonat</t>
  </si>
  <si>
    <t>A21137</t>
  </si>
  <si>
    <t>Kalsium Laktat 500 mg</t>
  </si>
  <si>
    <t>C50292N</t>
  </si>
  <si>
    <t>Kaptopril 12,5 mg</t>
  </si>
  <si>
    <t>54G0180</t>
  </si>
  <si>
    <t>Kaptopril 25 mg</t>
  </si>
  <si>
    <t>54G0052</t>
  </si>
  <si>
    <t>Karbamazepin 200 mg [P]</t>
  </si>
  <si>
    <t>A11297</t>
  </si>
  <si>
    <t>Ketokonazol 200 mg</t>
  </si>
  <si>
    <t>HIKCZB35381</t>
  </si>
  <si>
    <t>Klindamisin 300 mg</t>
  </si>
  <si>
    <t>A40534</t>
  </si>
  <si>
    <t>Kloramfenikol 500 mg</t>
  </si>
  <si>
    <t>B4J842</t>
  </si>
  <si>
    <t>B4J879</t>
  </si>
  <si>
    <t>Klorfeniramin maleat 4 mg</t>
  </si>
  <si>
    <t>2303-05-15</t>
  </si>
  <si>
    <t>Klorpromazin hcl 25  mg [P]</t>
  </si>
  <si>
    <t>Klorpromazin hcl 100  mg [P]</t>
  </si>
  <si>
    <t>A41847</t>
  </si>
  <si>
    <t>Klozapin 25 mg Tab</t>
  </si>
  <si>
    <t>A51099</t>
  </si>
  <si>
    <t>A51369</t>
  </si>
  <si>
    <t>A51370</t>
  </si>
  <si>
    <t>Kombinasi (ACT/DHP) [P]</t>
  </si>
  <si>
    <t>Kombinasi (Azitro+Cefixim) [P]</t>
  </si>
  <si>
    <t>L32775J</t>
  </si>
  <si>
    <t>Kotrimoksazol 480 mg</t>
  </si>
  <si>
    <t>Kotrimoksazol Forte 960 mg [P]</t>
  </si>
  <si>
    <t>CH2561</t>
  </si>
  <si>
    <t>Lanzoprazol 30 mg</t>
  </si>
  <si>
    <t>Kaps</t>
  </si>
  <si>
    <t>KLSPC40864</t>
  </si>
  <si>
    <t>KLSPC50991</t>
  </si>
  <si>
    <t>KLSPC51031</t>
  </si>
  <si>
    <t>KLSPC51033</t>
  </si>
  <si>
    <t>Linezolid 600 mg [P]</t>
  </si>
  <si>
    <t>BLC72402A</t>
  </si>
  <si>
    <t>Levofloksasin (Lfx) 500 mg Tablet [P]</t>
  </si>
  <si>
    <t>HTLONF43174</t>
  </si>
  <si>
    <t>HTLONF43180</t>
  </si>
  <si>
    <t>HTLONF43176</t>
  </si>
  <si>
    <t>Loratadin 10 mg</t>
  </si>
  <si>
    <t>TPH88751</t>
  </si>
  <si>
    <t>TLRTB20781</t>
  </si>
  <si>
    <t>TLRTB41055</t>
  </si>
  <si>
    <t>TLRTB41070</t>
  </si>
  <si>
    <t>LPV/r(200/50) [P]</t>
  </si>
  <si>
    <t>E233588</t>
  </si>
  <si>
    <t>E243957</t>
  </si>
  <si>
    <t>MDT MB anak (obat kusta) [P]</t>
  </si>
  <si>
    <t>Blister</t>
  </si>
  <si>
    <t>B.MR2024</t>
  </si>
  <si>
    <t>B.NA2517</t>
  </si>
  <si>
    <t>NA2517</t>
  </si>
  <si>
    <t>MDT PB dewasa (obat kusta) [P]</t>
  </si>
  <si>
    <t>BMC5935</t>
  </si>
  <si>
    <t>MDT MB dewasa (obat kusta) [P]</t>
  </si>
  <si>
    <t>NU5787</t>
  </si>
  <si>
    <t>NE1328</t>
  </si>
  <si>
    <t>PG0926</t>
  </si>
  <si>
    <t>Metformin 500 mg</t>
  </si>
  <si>
    <t>HTMFNB44176</t>
  </si>
  <si>
    <t>HTMFNB51060</t>
  </si>
  <si>
    <t>HTMFNB51061</t>
  </si>
  <si>
    <t>Metildopa 250 mg</t>
  </si>
  <si>
    <t>E23441006</t>
  </si>
  <si>
    <t>Metilprednisolon 16 mg</t>
  </si>
  <si>
    <t>HTMPSE53085</t>
  </si>
  <si>
    <t>Metilprednisolon 4 mg</t>
  </si>
  <si>
    <t>F25001</t>
  </si>
  <si>
    <t>HTMPSD53861</t>
  </si>
  <si>
    <t>Metoclopramide 10 mg</t>
  </si>
  <si>
    <t>C20069BJ</t>
  </si>
  <si>
    <t>Metoclopramide 5 mg</t>
  </si>
  <si>
    <t>J11245BJ</t>
  </si>
  <si>
    <t>Metronidazol 500 mg</t>
  </si>
  <si>
    <t>Mineral Mix [P]</t>
  </si>
  <si>
    <t>Molnupiravir 200 mg</t>
  </si>
  <si>
    <t>Kapsul</t>
  </si>
  <si>
    <t>B40513N</t>
  </si>
  <si>
    <t>Multivitamin Becefort</t>
  </si>
  <si>
    <t>Multivitamin Geriavita</t>
  </si>
  <si>
    <t>Moksifloksasin 400 mg [P]</t>
  </si>
  <si>
    <t>00124C04G</t>
  </si>
  <si>
    <t>25MXF01B</t>
  </si>
  <si>
    <t>Natrium diklofenak 25 mg</t>
  </si>
  <si>
    <t>Nifedipin 10 mg Tab</t>
  </si>
  <si>
    <t>55K4142</t>
  </si>
  <si>
    <t>Nistatin 500.000 IU</t>
  </si>
  <si>
    <t>NVP (200) [P]</t>
  </si>
  <si>
    <t>H21413J</t>
  </si>
  <si>
    <t>OAT Kategori Anak [P]</t>
  </si>
  <si>
    <t>Pkt</t>
  </si>
  <si>
    <t>24PK2009</t>
  </si>
  <si>
    <t>24PK2114</t>
  </si>
  <si>
    <t>25PK2034</t>
  </si>
  <si>
    <t>OAT Kategori I [P]</t>
  </si>
  <si>
    <t>ICI-1159</t>
  </si>
  <si>
    <t>A5027IJ</t>
  </si>
  <si>
    <t>H31700J</t>
  </si>
  <si>
    <t>E41400J</t>
  </si>
  <si>
    <t>J42934J</t>
  </si>
  <si>
    <t>C50962J</t>
  </si>
  <si>
    <t>OAT Kategori Dewasa [P]</t>
  </si>
  <si>
    <t>Paket</t>
  </si>
  <si>
    <t>C50961J</t>
  </si>
  <si>
    <t>Obat Batuk Kombinasi (Grantusif)</t>
  </si>
  <si>
    <t>B4H161</t>
  </si>
  <si>
    <t>Obat Batuk Kombinasi (Intunal-F)</t>
  </si>
  <si>
    <t>A4H210</t>
  </si>
  <si>
    <t>Obat Diare Kombinsi (Kaolin Pektin)</t>
  </si>
  <si>
    <t>028097</t>
  </si>
  <si>
    <t>C27176</t>
  </si>
  <si>
    <t>Parasetamol 500 mg</t>
  </si>
  <si>
    <t>A40649</t>
  </si>
  <si>
    <t>A4J347</t>
  </si>
  <si>
    <t>A4J349</t>
  </si>
  <si>
    <t>A4J350</t>
  </si>
  <si>
    <t>E25131</t>
  </si>
  <si>
    <t>T25001</t>
  </si>
  <si>
    <t>Pirantel pamoat 125 mg</t>
  </si>
  <si>
    <t>Piroksikam 20 mg</t>
  </si>
  <si>
    <t>A1010401</t>
  </si>
  <si>
    <t>A1005401</t>
  </si>
  <si>
    <t>Pretomanid (prtmd) 200 mg Tablet [P]</t>
  </si>
  <si>
    <t>Primakuin 15 mg [P]</t>
  </si>
  <si>
    <t>Propiltiourasil 100 mg</t>
  </si>
  <si>
    <t>53G1208</t>
  </si>
  <si>
    <t>Propranolol 10 mg</t>
  </si>
  <si>
    <t>Pyzinamid 500 mg  [P]</t>
  </si>
  <si>
    <t>Ranitidin 150 mg</t>
  </si>
  <si>
    <t>Risperidon 1 mg [P]</t>
  </si>
  <si>
    <t>54E0165</t>
  </si>
  <si>
    <t>Risperidon 2 mg [P]</t>
  </si>
  <si>
    <t>55G0591</t>
  </si>
  <si>
    <t>55G0590</t>
  </si>
  <si>
    <t>55K0631</t>
  </si>
  <si>
    <t>Salbutamol 2 mg</t>
  </si>
  <si>
    <t>Sefadroksil 500 mg</t>
  </si>
  <si>
    <t>HJ03H007</t>
  </si>
  <si>
    <t>HL03H010</t>
  </si>
  <si>
    <t>Setirizin 10 mg</t>
  </si>
  <si>
    <t>HTCTRC53156</t>
  </si>
  <si>
    <t>Simvastatin 10 mg</t>
  </si>
  <si>
    <t>BG0781</t>
  </si>
  <si>
    <t>HISVND36957</t>
  </si>
  <si>
    <t>HTSVND53308</t>
  </si>
  <si>
    <t>HTSVND53310</t>
  </si>
  <si>
    <t>Simvastatin 20 mg</t>
  </si>
  <si>
    <t>BG1681</t>
  </si>
  <si>
    <t>HISVNE35305</t>
  </si>
  <si>
    <t>HISVNE41365</t>
  </si>
  <si>
    <t>HTSVNE53634</t>
  </si>
  <si>
    <t>HTSVNE53659</t>
  </si>
  <si>
    <t>tab</t>
  </si>
  <si>
    <t>I51397N</t>
  </si>
  <si>
    <t>Tambah darah kombinasi [P]</t>
  </si>
  <si>
    <t>23CD038</t>
  </si>
  <si>
    <t>23CE010</t>
  </si>
  <si>
    <t>TDF (300) [P]</t>
  </si>
  <si>
    <t>G42024J</t>
  </si>
  <si>
    <t>Botol</t>
  </si>
  <si>
    <t>D41076J</t>
  </si>
  <si>
    <t>TDF (300)/ 3TC (300)/ DTG (50) [P]</t>
  </si>
  <si>
    <t>09024F11G</t>
  </si>
  <si>
    <t>09025C03G</t>
  </si>
  <si>
    <t>09025C12G</t>
  </si>
  <si>
    <t>TDF (300)/ 3TC (300)/ EFV (50) [P]</t>
  </si>
  <si>
    <t>EI0061</t>
  </si>
  <si>
    <t>TDF (300)/ 3TC (300)/ EFV (600) [P]</t>
  </si>
  <si>
    <t>B50598J2</t>
  </si>
  <si>
    <t>C50861J2</t>
  </si>
  <si>
    <t>D51370J2</t>
  </si>
  <si>
    <t>E51486J2</t>
  </si>
  <si>
    <t>F51798J1</t>
  </si>
  <si>
    <t>F518000J2</t>
  </si>
  <si>
    <t>F51803J2</t>
  </si>
  <si>
    <t>F51807J2</t>
  </si>
  <si>
    <t>J52469J1</t>
  </si>
  <si>
    <t>E51551J2</t>
  </si>
  <si>
    <t>TLD (300/300/50) [P]</t>
  </si>
  <si>
    <t>TLE (300/300/600) [P]</t>
  </si>
  <si>
    <t>0523G05G</t>
  </si>
  <si>
    <t>Trifluoperazin 5 mg [P]</t>
  </si>
  <si>
    <t>A30634</t>
  </si>
  <si>
    <t>Triheksifenidil 2 mg [P]</t>
  </si>
  <si>
    <t>A31368</t>
  </si>
  <si>
    <t>A50429</t>
  </si>
  <si>
    <t>Vitamin A 100.000 IU (retinol) Biru [P]</t>
  </si>
  <si>
    <t>G21720W</t>
  </si>
  <si>
    <t>23KC011</t>
  </si>
  <si>
    <t>23KM004</t>
  </si>
  <si>
    <t>25KB004</t>
  </si>
  <si>
    <t>Vitamin A 200.000 IU (retinol) Merah [P]</t>
  </si>
  <si>
    <t>23KM006</t>
  </si>
  <si>
    <t>D20748W</t>
  </si>
  <si>
    <t>25KE004</t>
  </si>
  <si>
    <t>Vitamin B 1 50 mg</t>
  </si>
  <si>
    <t>Vitamin B 6</t>
  </si>
  <si>
    <t>C40418N</t>
  </si>
  <si>
    <t>Vitamin B6 50 mg</t>
  </si>
  <si>
    <t>Vitamin C 250 mg</t>
  </si>
  <si>
    <t>Vitamin C 50 mg</t>
  </si>
  <si>
    <t>T25084</t>
  </si>
  <si>
    <t>Vitamin K 1 (Fitomenadion) 10 mg</t>
  </si>
  <si>
    <t>ZDV (300) / 3TC (150) [P]</t>
  </si>
  <si>
    <t>H21511J</t>
  </si>
  <si>
    <t>J43067J</t>
  </si>
  <si>
    <t>B50366J</t>
  </si>
  <si>
    <t>B50365J</t>
  </si>
  <si>
    <t>ZDV (100) [P]</t>
  </si>
  <si>
    <t>A40371J</t>
  </si>
  <si>
    <t>Zinc Tablet</t>
  </si>
  <si>
    <t>24TB011</t>
  </si>
  <si>
    <t>Zinc tablet dispersibel 10 mg</t>
  </si>
  <si>
    <t>Zinc tablet dispersibel 20 mg</t>
  </si>
  <si>
    <t>23TK010</t>
  </si>
  <si>
    <t>23ZC1008</t>
  </si>
  <si>
    <t>INJEKSI</t>
  </si>
  <si>
    <t>Air untuk injeksi (aqua pro injeksi) 25 ml</t>
  </si>
  <si>
    <t>Vial</t>
  </si>
  <si>
    <t>B81F53A</t>
  </si>
  <si>
    <t>B94163A</t>
  </si>
  <si>
    <t>B81J53A</t>
  </si>
  <si>
    <t>Aminopilin Inj</t>
  </si>
  <si>
    <t>Amp</t>
  </si>
  <si>
    <t>66307027-1</t>
  </si>
  <si>
    <t>Asam Tranexamat Inj</t>
  </si>
  <si>
    <t>PIK18253</t>
  </si>
  <si>
    <t>Benzatin Penicillin 2,4 juta i.u</t>
  </si>
  <si>
    <t>Deksametason 5 mg/ml</t>
  </si>
  <si>
    <t>Difenhidramin hcl 10 mg/ml</t>
  </si>
  <si>
    <t>PIJ76953</t>
  </si>
  <si>
    <t>Epinefrin inj</t>
  </si>
  <si>
    <t>76344003-1</t>
  </si>
  <si>
    <t>Flufenazin 25 mg/ml (Sikzonoate) [P]</t>
  </si>
  <si>
    <t>2EA02037</t>
  </si>
  <si>
    <t>Furosemid 2 mg/ml</t>
  </si>
  <si>
    <t>Ampul</t>
  </si>
  <si>
    <t>3EA07236</t>
  </si>
  <si>
    <t>D40061</t>
  </si>
  <si>
    <t>Gentamisin 80 mg/2 mL</t>
  </si>
  <si>
    <t>pu85653</t>
  </si>
  <si>
    <t>Haloperidol 5 mg/ml [P]</t>
  </si>
  <si>
    <t>D30527</t>
  </si>
  <si>
    <t>D40721</t>
  </si>
  <si>
    <t>D30523</t>
  </si>
  <si>
    <t>Haloperidol 50 mg/ml [P]</t>
  </si>
  <si>
    <t>NAB4000</t>
  </si>
  <si>
    <t>PFB0R00</t>
  </si>
  <si>
    <t>Kalsium glukonat 10 %</t>
  </si>
  <si>
    <t>53j3010</t>
  </si>
  <si>
    <t>Ketorolak 30 mg/ml</t>
  </si>
  <si>
    <t>IKTRB306431</t>
  </si>
  <si>
    <t>Klorpromazin Inj 25 mg/ml</t>
  </si>
  <si>
    <t>Lidokain 2 %</t>
  </si>
  <si>
    <t>66362063-1</t>
  </si>
  <si>
    <t>66362080-2</t>
  </si>
  <si>
    <t>Lidokain kompositum</t>
  </si>
  <si>
    <t>Magnesium sulfat 20 % (i.v.)</t>
  </si>
  <si>
    <t>B82B64A</t>
  </si>
  <si>
    <t>B83B55A</t>
  </si>
  <si>
    <t>Magnesium sulfat 40 % (i.v.)</t>
  </si>
  <si>
    <t>B75A53A</t>
  </si>
  <si>
    <t>B7563A</t>
  </si>
  <si>
    <t>B80B55B</t>
  </si>
  <si>
    <t>Metamizol injeksi</t>
  </si>
  <si>
    <t>PIL77752</t>
  </si>
  <si>
    <t>PIF13554</t>
  </si>
  <si>
    <t>PIF13854</t>
  </si>
  <si>
    <t>PIK09154</t>
  </si>
  <si>
    <t>Metilergometrin 0.2 mg/ml</t>
  </si>
  <si>
    <t>F3A678</t>
  </si>
  <si>
    <t>419F24FE</t>
  </si>
  <si>
    <t>3346251B</t>
  </si>
  <si>
    <t>Metoclopramide HCl Inj 5 mg/ml</t>
  </si>
  <si>
    <t>E23K02314</t>
  </si>
  <si>
    <t>E24A0022A</t>
  </si>
  <si>
    <t>E24F01924</t>
  </si>
  <si>
    <t>Norepinephrine 1 mg/ml</t>
  </si>
  <si>
    <t>Oksitosin 10 iu/ml</t>
  </si>
  <si>
    <t>9622COO77A</t>
  </si>
  <si>
    <t>9622C0075A</t>
  </si>
  <si>
    <t>E24J0379A</t>
  </si>
  <si>
    <t>Oksitosin 10 mcg/mL</t>
  </si>
  <si>
    <t>294F251B</t>
  </si>
  <si>
    <t>Ondansetron 4 mg/2 ml</t>
  </si>
  <si>
    <t>PIK64852</t>
  </si>
  <si>
    <t>PPD Tuberculin 5TU/0,1 [P]</t>
  </si>
  <si>
    <t>P2555-02</t>
  </si>
  <si>
    <t>P2561-02</t>
  </si>
  <si>
    <t>P2567-02</t>
  </si>
  <si>
    <t>Ranitidin 25 ml/ml</t>
  </si>
  <si>
    <t>IRNTB40799</t>
  </si>
  <si>
    <t>IRNTB40804</t>
  </si>
  <si>
    <t>IRNTB40807</t>
  </si>
  <si>
    <t>D50476</t>
  </si>
  <si>
    <t>D50034</t>
  </si>
  <si>
    <t>Ranitidine 25 mg/ mL</t>
  </si>
  <si>
    <t>E25F0242A</t>
  </si>
  <si>
    <t>E25F0243A</t>
  </si>
  <si>
    <t>Sefotaksim 1 gr Inj</t>
  </si>
  <si>
    <t>ICFTA40690</t>
  </si>
  <si>
    <t>56C0412</t>
  </si>
  <si>
    <t>Seftriakson 1 gr Inj</t>
  </si>
  <si>
    <t>ICFRA42463</t>
  </si>
  <si>
    <t>56B0175</t>
  </si>
  <si>
    <t>PSB14554</t>
  </si>
  <si>
    <t>Vitamin B 12 (sianokobalamin)</t>
  </si>
  <si>
    <t>Vitamin K 1 (fitomenadion) 2 mg/ml</t>
  </si>
  <si>
    <t>IPHNA30041</t>
  </si>
  <si>
    <t>IPHNA30045</t>
  </si>
  <si>
    <t>IPHNA30048</t>
  </si>
  <si>
    <t>Vitamin K 1 (fitomenadion) 5 mg/ml</t>
  </si>
  <si>
    <t>F3D872</t>
  </si>
  <si>
    <t>NARKOTIKA &amp; PSIKOTROPIKA</t>
  </si>
  <si>
    <t>Diazepam 5 mg</t>
  </si>
  <si>
    <t>A22373</t>
  </si>
  <si>
    <t>A41444</t>
  </si>
  <si>
    <t>A20329</t>
  </si>
  <si>
    <t>Diazepam Inj 5 mg/ml (i.v.)</t>
  </si>
  <si>
    <t>F3D834</t>
  </si>
  <si>
    <t>Diazepam Cairan Injeksi 5 mg/2 mL</t>
  </si>
  <si>
    <t>F4B664A</t>
  </si>
  <si>
    <t>F4H199</t>
  </si>
  <si>
    <t>F4J307</t>
  </si>
  <si>
    <t>Fenobarbital 30 mg</t>
  </si>
  <si>
    <t>B40074N</t>
  </si>
  <si>
    <t>D40834N</t>
  </si>
  <si>
    <t>Fenobarbital 50 mg/ml</t>
  </si>
  <si>
    <t>46803001R</t>
  </si>
  <si>
    <t>66803001-1</t>
  </si>
  <si>
    <t>Kodein 10 mg</t>
  </si>
  <si>
    <t>K43385J</t>
  </si>
  <si>
    <t>H31843J</t>
  </si>
  <si>
    <t>SALEP &amp; SUPPOSITORIA</t>
  </si>
  <si>
    <t>Antihemoroid</t>
  </si>
  <si>
    <t>Supp</t>
  </si>
  <si>
    <t>L34502W</t>
  </si>
  <si>
    <t>J51922W</t>
  </si>
  <si>
    <t>Asiklovir krim</t>
  </si>
  <si>
    <t>Tube</t>
  </si>
  <si>
    <t>Asiklovir krim (Lovires)</t>
  </si>
  <si>
    <t>B4H135</t>
  </si>
  <si>
    <t>Bedak salisil 2%</t>
  </si>
  <si>
    <t>Pot</t>
  </si>
  <si>
    <t>A400395</t>
  </si>
  <si>
    <t>Betametason 0,1% krim</t>
  </si>
  <si>
    <t>K34271W</t>
  </si>
  <si>
    <t>Gentamisin  salep mata</t>
  </si>
  <si>
    <t>01458019</t>
  </si>
  <si>
    <t>01458020</t>
  </si>
  <si>
    <t>01458021</t>
  </si>
  <si>
    <t>Hidrokortison krim</t>
  </si>
  <si>
    <t>G41452W</t>
  </si>
  <si>
    <t>KCHCTA52360</t>
  </si>
  <si>
    <t>Hidrokortison Salep 2,5%</t>
  </si>
  <si>
    <t>24E303</t>
  </si>
  <si>
    <t>Ketokonazol 2 % krim</t>
  </si>
  <si>
    <t>C40873W</t>
  </si>
  <si>
    <t>Ketokonazol Krim 2%</t>
  </si>
  <si>
    <t>FS1167W</t>
  </si>
  <si>
    <t>Mikonazol 2 % krim</t>
  </si>
  <si>
    <t>H22607W</t>
  </si>
  <si>
    <t>Nistatin 100.000 IU</t>
  </si>
  <si>
    <t>Oksitetrasiklin salep mata</t>
  </si>
  <si>
    <t>D31778W</t>
  </si>
  <si>
    <t>Permethrin Salep</t>
  </si>
  <si>
    <t>4MJ045</t>
  </si>
  <si>
    <t>4MJ055</t>
  </si>
  <si>
    <t>Salep 2-4 kombinasi krim</t>
  </si>
  <si>
    <t>Sipermetrin</t>
  </si>
  <si>
    <t>Galon</t>
  </si>
  <si>
    <t>F109TD5193001</t>
  </si>
  <si>
    <t>Sulfadiazine 10 Mg Salep</t>
  </si>
  <si>
    <t>3CG1354</t>
  </si>
  <si>
    <t>Sulfadiazine 35 gr Salep</t>
  </si>
  <si>
    <t>4DA0135</t>
  </si>
  <si>
    <t>SIRUP</t>
  </si>
  <si>
    <t>Albendazol Sirup [P]</t>
  </si>
  <si>
    <t>Ambroxol 30 mg/ 5 mL Elixir</t>
  </si>
  <si>
    <t>SC476953</t>
  </si>
  <si>
    <t>Amoksisilin Drop 100 mg/ml</t>
  </si>
  <si>
    <t>PJ28T032</t>
  </si>
  <si>
    <t>C3H098</t>
  </si>
  <si>
    <t>Amoksisilin sirup kering 125 mg/5 ml</t>
  </si>
  <si>
    <t>B30047</t>
  </si>
  <si>
    <t>Antasida Doen Sirup</t>
  </si>
  <si>
    <t>245G005</t>
  </si>
  <si>
    <t>Curviplex Syr</t>
  </si>
  <si>
    <t>BSH059</t>
  </si>
  <si>
    <t>Domperidone Syr</t>
  </si>
  <si>
    <t>KLDPA51338</t>
  </si>
  <si>
    <t>KLDPA51339</t>
  </si>
  <si>
    <t>KLDPA51340</t>
  </si>
  <si>
    <t>Eritromisin 60 ml</t>
  </si>
  <si>
    <t>Ibuprofen sups 100 mg / 5 ml</t>
  </si>
  <si>
    <t>Ibuprofen sups 200 mg / 5 ml</t>
  </si>
  <si>
    <t>Kloramfenikol susp 125 mg/5 ml</t>
  </si>
  <si>
    <t>Kotrimoksazol susp</t>
  </si>
  <si>
    <t>Laktulosa 3,335 g/5 ml</t>
  </si>
  <si>
    <t>E25018A</t>
  </si>
  <si>
    <t>Metronidazol susp 125 mg/5 mL</t>
  </si>
  <si>
    <t>E2D686</t>
  </si>
  <si>
    <t>Multivitamin Anak Solvita Plus</t>
  </si>
  <si>
    <t>LJV 7</t>
  </si>
  <si>
    <t>LJV1</t>
  </si>
  <si>
    <t>Nistatin drop 100.000 IU</t>
  </si>
  <si>
    <t>SCC10753</t>
  </si>
  <si>
    <t>SCF31754</t>
  </si>
  <si>
    <t>Obat batuk hitam (OBH) sirup</t>
  </si>
  <si>
    <t>Obat Batuk Kombinasi (Donexan Dx 60 ml)</t>
  </si>
  <si>
    <t>E3L498</t>
  </si>
  <si>
    <t>Parasetamol 100 mg/ mL Drop</t>
  </si>
  <si>
    <t>EE1779</t>
  </si>
  <si>
    <t>Parasetamol Drop @ 15 ml</t>
  </si>
  <si>
    <t>S1460028</t>
  </si>
  <si>
    <t>S1460029</t>
  </si>
  <si>
    <t>Parasetamol Sirup</t>
  </si>
  <si>
    <t>ESD400</t>
  </si>
  <si>
    <t>ESE455</t>
  </si>
  <si>
    <t>ESF522</t>
  </si>
  <si>
    <t>Parasetamol sirup 120 mg/5 ml</t>
  </si>
  <si>
    <t>SCF28153</t>
  </si>
  <si>
    <t>SCG33353</t>
  </si>
  <si>
    <t>SCH40653</t>
  </si>
  <si>
    <t>Pirantel pamoat sirup 125 mg/5 ml</t>
  </si>
  <si>
    <t>Sefadroksil Sirup 125 mg/5 ml</t>
  </si>
  <si>
    <t>SKC04753</t>
  </si>
  <si>
    <t>Setirizin Sirup</t>
  </si>
  <si>
    <t>Solvita Syr</t>
  </si>
  <si>
    <t>LSVAI5011</t>
  </si>
  <si>
    <t>Sukralfat Suspen 500 mg/5 ml</t>
  </si>
  <si>
    <t>55I4121</t>
  </si>
  <si>
    <t>56D4212</t>
  </si>
  <si>
    <t>Zink sirup 20mg/ 5ml</t>
  </si>
  <si>
    <t>SCL31552</t>
  </si>
  <si>
    <t>Zink sulfat drop</t>
  </si>
  <si>
    <t>E3L465</t>
  </si>
  <si>
    <t>LARUTAN</t>
  </si>
  <si>
    <t>Alkohol 70% 1000 ml</t>
  </si>
  <si>
    <t>Alkohol 96% 100 ml</t>
  </si>
  <si>
    <t>Aquadest 5 Liter</t>
  </si>
  <si>
    <t>Budesonid 0,25 mg/ml</t>
  </si>
  <si>
    <t>Respul</t>
  </si>
  <si>
    <t>SEPA</t>
  </si>
  <si>
    <t>Gentamisin 0,3 % tetes mata</t>
  </si>
  <si>
    <t>D0258007</t>
  </si>
  <si>
    <t>Gentian Violet</t>
  </si>
  <si>
    <t>Glukosa  10 % (D.10) 500 ml</t>
  </si>
  <si>
    <t>1B2A3G008</t>
  </si>
  <si>
    <t>A71H54B</t>
  </si>
  <si>
    <t>Glukosa  5 % (D.5)</t>
  </si>
  <si>
    <t>A89D54B</t>
  </si>
  <si>
    <t>KA-EN 1 B 500 ml</t>
  </si>
  <si>
    <t>G00A54A</t>
  </si>
  <si>
    <t>KA-EN 3 B Softbag</t>
  </si>
  <si>
    <t>G86G54A</t>
  </si>
  <si>
    <t>Kloramfenikol 3% tetes telinga</t>
  </si>
  <si>
    <t>D0458006</t>
  </si>
  <si>
    <t>Larutan Klorin 0,5% 250 ml</t>
  </si>
  <si>
    <t>K24DO2519-ACD</t>
  </si>
  <si>
    <t>Lysol</t>
  </si>
  <si>
    <t>Meprovent Inhalasi</t>
  </si>
  <si>
    <t>N4E189</t>
  </si>
  <si>
    <t>N4K232</t>
  </si>
  <si>
    <t>NaCL 0,9% 100 ml</t>
  </si>
  <si>
    <t>A73E54A</t>
  </si>
  <si>
    <t>NaCL 0,9% 500 ml</t>
  </si>
  <si>
    <t>1A1A31068</t>
  </si>
  <si>
    <t>Parasetamol 1 gr infus</t>
  </si>
  <si>
    <t>PIK16353</t>
  </si>
  <si>
    <t>PIK16453</t>
  </si>
  <si>
    <t>Ringer laktat (RL) 500 ml</t>
  </si>
  <si>
    <t>Rivanol 300 ml</t>
  </si>
  <si>
    <t>Salbutamol Inhalasi 1 mg/ml</t>
  </si>
  <si>
    <t>HJ24099</t>
  </si>
  <si>
    <t>SERUM VAKSIN</t>
  </si>
  <si>
    <t>Serum Anti Bisa Ular (SABU)</t>
  </si>
  <si>
    <t>Serum Anti Tetanus (A.T.S)</t>
  </si>
  <si>
    <t>Vaksin Anti Rabies</t>
  </si>
  <si>
    <t>1484M058</t>
  </si>
  <si>
    <t>1484M102</t>
  </si>
  <si>
    <t>Vaksin BCG</t>
  </si>
  <si>
    <t>07101824</t>
  </si>
  <si>
    <t>0374MA028</t>
  </si>
  <si>
    <t>07102424</t>
  </si>
  <si>
    <t>07102824</t>
  </si>
  <si>
    <t>07102924</t>
  </si>
  <si>
    <t>0374MA032</t>
  </si>
  <si>
    <t>0374MA097</t>
  </si>
  <si>
    <t>Vaksin Combefive</t>
  </si>
  <si>
    <t>220108824A</t>
  </si>
  <si>
    <t>220116724A</t>
  </si>
  <si>
    <t>220102325A</t>
  </si>
  <si>
    <t>Vaksin DT</t>
  </si>
  <si>
    <t>0400223</t>
  </si>
  <si>
    <t>Vaksin Formening</t>
  </si>
  <si>
    <t>J202303001</t>
  </si>
  <si>
    <t>E3202408005</t>
  </si>
  <si>
    <t>Vaksin Hepatitis B (HBO)</t>
  </si>
  <si>
    <t>Pouches</t>
  </si>
  <si>
    <t>Vaksin Hepatitis B (Veconpediatrik)</t>
  </si>
  <si>
    <t>C202405002</t>
  </si>
  <si>
    <t>C202405003</t>
  </si>
  <si>
    <t>c202405003</t>
  </si>
  <si>
    <t>C202405007</t>
  </si>
  <si>
    <t>C202405008</t>
  </si>
  <si>
    <t>Vaksin Hepatitis B Dewasa</t>
  </si>
  <si>
    <t>Vaksin Hepatitis Bayi Hyperheb (HBIG)</t>
  </si>
  <si>
    <t>HOIG111443</t>
  </si>
  <si>
    <t>H01H10507</t>
  </si>
  <si>
    <t>H01J109693</t>
  </si>
  <si>
    <t>Vaksin HPV</t>
  </si>
  <si>
    <t>Vaksin jerap difteri tetanus (DT) &lt; 7 th</t>
  </si>
  <si>
    <t>Vaksin jerap difteri tetanus (TD)</t>
  </si>
  <si>
    <t>0413923</t>
  </si>
  <si>
    <t>Vaksin jerap difteri tetanus (TD) ≥ 7 th</t>
  </si>
  <si>
    <t>0412823</t>
  </si>
  <si>
    <t>041122</t>
  </si>
  <si>
    <t>0413623</t>
  </si>
  <si>
    <t>0411023</t>
  </si>
  <si>
    <t>Vaksin MR</t>
  </si>
  <si>
    <t>0122W119</t>
  </si>
  <si>
    <t>0124W078</t>
  </si>
  <si>
    <t>012W059</t>
  </si>
  <si>
    <t>0123W059</t>
  </si>
  <si>
    <t>0124W114</t>
  </si>
  <si>
    <t>0125N037A</t>
  </si>
  <si>
    <t>vial</t>
  </si>
  <si>
    <t>0125N065A</t>
  </si>
  <si>
    <t xml:space="preserve">Vaksin MR </t>
  </si>
  <si>
    <t>0125N095B</t>
  </si>
  <si>
    <t xml:space="preserve">0123W058 </t>
  </si>
  <si>
    <t>Vaksin Pentavac</t>
  </si>
  <si>
    <t>2864X0124</t>
  </si>
  <si>
    <t>2865X001A</t>
  </si>
  <si>
    <t>2865X00A</t>
  </si>
  <si>
    <t>Vaksin Pneumococal (PCV)</t>
  </si>
  <si>
    <t>LE2251</t>
  </si>
  <si>
    <t>LE2253</t>
  </si>
  <si>
    <t>MA5049</t>
  </si>
  <si>
    <t>Vaksin Pneumococal (PCV) Valenina</t>
  </si>
  <si>
    <t>VPCB25011</t>
  </si>
  <si>
    <t>VPCB25020</t>
  </si>
  <si>
    <t>Vaksin polio ipv 0,5 ml (i.m.)</t>
  </si>
  <si>
    <t>Vaksin polio t-opv drops 10 dosis</t>
  </si>
  <si>
    <t>Vaksin Rabies (RABIVAX)</t>
  </si>
  <si>
    <t>1484M015</t>
  </si>
  <si>
    <t>Vaksin Rotatec</t>
  </si>
  <si>
    <t>Pouch</t>
  </si>
  <si>
    <t>Y020564</t>
  </si>
  <si>
    <t>Z005553</t>
  </si>
  <si>
    <t>ZOO5553</t>
  </si>
  <si>
    <t>Vaksin Rotavirus (Rotavac)</t>
  </si>
  <si>
    <t xml:space="preserve">GIB230424 </t>
  </si>
  <si>
    <t xml:space="preserve">GIB23100A </t>
  </si>
  <si>
    <t>GIB231006A</t>
  </si>
  <si>
    <t>GIB23106A</t>
  </si>
  <si>
    <t>G1B23040A</t>
  </si>
  <si>
    <t>BHP</t>
  </si>
  <si>
    <t>Abate 1 G</t>
  </si>
  <si>
    <t>254R070003</t>
  </si>
  <si>
    <t>Alat suntik sekali pakai 0,05 ml</t>
  </si>
  <si>
    <t>Pcs</t>
  </si>
  <si>
    <t>S25BAB002</t>
  </si>
  <si>
    <t>Alat suntik sekali pakai 0,05 ml (Vaksin Rutin)</t>
  </si>
  <si>
    <t>pcs</t>
  </si>
  <si>
    <t>S25CAB006</t>
  </si>
  <si>
    <t>S25CB007</t>
  </si>
  <si>
    <t>S24BAB003</t>
  </si>
  <si>
    <t>Alat suntik sekali pakai 0,3 ml (Vaksin Covid)</t>
  </si>
  <si>
    <t>S22ABK002</t>
  </si>
  <si>
    <t>Alat suntik sekali pakai 0,5 ml</t>
  </si>
  <si>
    <t>C25DCG073</t>
  </si>
  <si>
    <t>C25BCG054</t>
  </si>
  <si>
    <t>Alat suntik sekali pakai 0,5 ml (Vaksin Rutin)</t>
  </si>
  <si>
    <t>C25CCG063</t>
  </si>
  <si>
    <t>C25BCG073</t>
  </si>
  <si>
    <t>C25BCG070</t>
  </si>
  <si>
    <t>Alat suntik sekali pakai 1 ml</t>
  </si>
  <si>
    <t>Lot, 258053B1</t>
  </si>
  <si>
    <t>Lot, 25X241B1</t>
  </si>
  <si>
    <t>Alat suntik sekali pakai 10 ml</t>
  </si>
  <si>
    <t>Alat suntik sekali pakai 3 ml</t>
  </si>
  <si>
    <t>10T231393</t>
  </si>
  <si>
    <t>Lot, 258281B2</t>
  </si>
  <si>
    <t>Lot, 258291B2</t>
  </si>
  <si>
    <t>S22AFG002</t>
  </si>
  <si>
    <t>Alat suntik sekali pakai 3 ml (Chrona Care)</t>
  </si>
  <si>
    <t>Box</t>
  </si>
  <si>
    <t>C24HSB001</t>
  </si>
  <si>
    <t>Alat suntik sekali pakai 3 ml (Top Point)</t>
  </si>
  <si>
    <t>Alat suntik sekali pakai 5 ml</t>
  </si>
  <si>
    <t>C24BGC020</t>
  </si>
  <si>
    <t>Alkohol Swab</t>
  </si>
  <si>
    <t>PCS</t>
  </si>
  <si>
    <t>GM2110170</t>
  </si>
  <si>
    <t>Alkohol Swab (Vaksin Covid)</t>
  </si>
  <si>
    <t>Baju APD</t>
  </si>
  <si>
    <t>Baju APD Hazmat BOHO</t>
  </si>
  <si>
    <t>Baju APD Lengkap 5 Item</t>
  </si>
  <si>
    <t>Baju APD Merk Hansa</t>
  </si>
  <si>
    <t>Baju APD Steril Trigi</t>
  </si>
  <si>
    <t>Baju APD Tugas Merk M-KU 63</t>
  </si>
  <si>
    <t>Baju APD/Alat Pelindung Diri (Dinas Sosial)</t>
  </si>
  <si>
    <t>Baju APD/Cover all Suit (SETDA)</t>
  </si>
  <si>
    <t>Baju APD/Hazmat Multratex</t>
  </si>
  <si>
    <t>Baju Gown Hijau</t>
  </si>
  <si>
    <t>Bisturi uk.15</t>
  </si>
  <si>
    <t>Bisturi uk.20</t>
  </si>
  <si>
    <t>Bisturi uk.22</t>
  </si>
  <si>
    <t>Cat gut Chromic 3/0</t>
  </si>
  <si>
    <t>CM2-250302</t>
  </si>
  <si>
    <t>CM2-250703</t>
  </si>
  <si>
    <t>Cat gut Plain 3/0</t>
  </si>
  <si>
    <t>CN2-240801</t>
  </si>
  <si>
    <t>CN2-251002</t>
  </si>
  <si>
    <t>Cat gut Silk 3/0</t>
  </si>
  <si>
    <t>Cat gut T-Plain 2/0</t>
  </si>
  <si>
    <t>CN3-240801</t>
  </si>
  <si>
    <t>Face Shield Disposible</t>
  </si>
  <si>
    <t>Face Shield Plastik</t>
  </si>
  <si>
    <t>Folly catheter No.16</t>
  </si>
  <si>
    <t>Folly catheter No.18</t>
  </si>
  <si>
    <t>Handsanitaizer</t>
  </si>
  <si>
    <t>I.V. catheter No.18 G</t>
  </si>
  <si>
    <t>30408A009</t>
  </si>
  <si>
    <t>34708A038</t>
  </si>
  <si>
    <t>I.V. catheter No.20 G</t>
  </si>
  <si>
    <t>34708B001</t>
  </si>
  <si>
    <t>40608B010</t>
  </si>
  <si>
    <t>I.V. catheter No.22 G</t>
  </si>
  <si>
    <t>34708C048</t>
  </si>
  <si>
    <t>34708C053</t>
  </si>
  <si>
    <t>I.V. Catheter No.24</t>
  </si>
  <si>
    <t>34708D021</t>
  </si>
  <si>
    <t>I.V. Catheter No.24 G</t>
  </si>
  <si>
    <t>40108D012</t>
  </si>
  <si>
    <t>I.V. Catheter No.26</t>
  </si>
  <si>
    <t>309782D</t>
  </si>
  <si>
    <t>Infus set anak</t>
  </si>
  <si>
    <t>Infus set dewasa</t>
  </si>
  <si>
    <t>K.y jelly 82 gram</t>
  </si>
  <si>
    <t>Kaca Mata Google</t>
  </si>
  <si>
    <t>Kapas pembalut/absorben 250 gram</t>
  </si>
  <si>
    <t>Bks</t>
  </si>
  <si>
    <t>19052388AR</t>
  </si>
  <si>
    <t>12062388AR</t>
  </si>
  <si>
    <t>Kasa 40 m x 80 cm</t>
  </si>
  <si>
    <t>Roll</t>
  </si>
  <si>
    <t>Kasa kompres 40/40 steril</t>
  </si>
  <si>
    <t>Kasa pembalut 2 m x 80 cm</t>
  </si>
  <si>
    <t>271088HM</t>
  </si>
  <si>
    <t>Kasa pembalut hidrofil 4 m x 10 cm</t>
  </si>
  <si>
    <t>Kasa pembalut hidrofil 4 m x 15 cm</t>
  </si>
  <si>
    <t>Kasa pembalut hidrofil 4 m x 3 cm</t>
  </si>
  <si>
    <t>Kasa pembalut hidrofil 4 m x 5 cm</t>
  </si>
  <si>
    <t>Kasa steril 16x16 cm</t>
  </si>
  <si>
    <t>Ktk</t>
  </si>
  <si>
    <t>Kondom [P]</t>
  </si>
  <si>
    <t>PD2214</t>
  </si>
  <si>
    <t>M10230602</t>
  </si>
  <si>
    <t>Lidi Swab uk L [P]</t>
  </si>
  <si>
    <t>12092388B</t>
  </si>
  <si>
    <t>Lidi Swab uk M [P]</t>
  </si>
  <si>
    <t>Lubricant [P]</t>
  </si>
  <si>
    <t>LBC2284</t>
  </si>
  <si>
    <t>M09230602</t>
  </si>
  <si>
    <t>Masker</t>
  </si>
  <si>
    <t>Masker Bedah (TB)</t>
  </si>
  <si>
    <t>Masker Hijab (Chrona Care)</t>
  </si>
  <si>
    <t>Masker Medis</t>
  </si>
  <si>
    <t>Masker Medis (Baymed)</t>
  </si>
  <si>
    <t>Masker Medis Anak</t>
  </si>
  <si>
    <t>KM200116011</t>
  </si>
  <si>
    <t>Masker N 95</t>
  </si>
  <si>
    <t>21114A002</t>
  </si>
  <si>
    <t>Masker N 95 (Aeropro)</t>
  </si>
  <si>
    <t>Masker N 95 (Biqrich)</t>
  </si>
  <si>
    <t>Masker N 95 (P2P) Semilles</t>
  </si>
  <si>
    <t>Masker N 95 (Polabis)</t>
  </si>
  <si>
    <t>Masker N 95 (Program TB)</t>
  </si>
  <si>
    <t>Masker N 95 (YX135)</t>
  </si>
  <si>
    <t xml:space="preserve">Masker N 95 Polabis (Aeropro) (Program TB) </t>
  </si>
  <si>
    <t>Masker Nebulizer Anak</t>
  </si>
  <si>
    <t>Masker Nebulizer Bayi</t>
  </si>
  <si>
    <t>40418C006</t>
  </si>
  <si>
    <t>Masker Nebulizer Dewasa</t>
  </si>
  <si>
    <t>MASKER SUNGKUP OKSIGEN ANAK</t>
  </si>
  <si>
    <t>MASKER SUNGKUP OKSIGEN BAYI</t>
  </si>
  <si>
    <t>MASKER SUNGKUP OKSIGEN DEWASA</t>
  </si>
  <si>
    <t>Nasogastrik tube (NGT) No. 16</t>
  </si>
  <si>
    <t>366RL102</t>
  </si>
  <si>
    <t>Needle 23 G (Safeject)</t>
  </si>
  <si>
    <t>C24KJQ001</t>
  </si>
  <si>
    <t>Needle 27 G</t>
  </si>
  <si>
    <t>Paket BHP ODHIV</t>
  </si>
  <si>
    <t>-</t>
  </si>
  <si>
    <t>Penghisap lendir bayi</t>
  </si>
  <si>
    <t>Penjepit tali pusat</t>
  </si>
  <si>
    <t>Penutup kepala</t>
  </si>
  <si>
    <t>Penutup Wajah</t>
  </si>
  <si>
    <t>Plester bulat/ plesterin</t>
  </si>
  <si>
    <t>Plester dermafix</t>
  </si>
  <si>
    <t>Plester Elastis 19 mm X 65 mm</t>
  </si>
  <si>
    <t>Plesterin Roll 20 cm x 5 m CBH</t>
  </si>
  <si>
    <t>Plesterin Roll 5 cm x 5 m</t>
  </si>
  <si>
    <t>Sabun cuci tangan Baymed</t>
  </si>
  <si>
    <t>Safety box</t>
  </si>
  <si>
    <t>Safety box  (Vaksin Rutin)</t>
  </si>
  <si>
    <t>Safety box (Vaksin Rutin)</t>
  </si>
  <si>
    <t>Safety box 12,5 L</t>
  </si>
  <si>
    <t>Safety box 5 L</t>
  </si>
  <si>
    <t>Safety box 5l</t>
  </si>
  <si>
    <t>Safety Vacu Holder</t>
  </si>
  <si>
    <t>Sarung tangan non steril Uk. L</t>
  </si>
  <si>
    <t>Psg</t>
  </si>
  <si>
    <t>22-10-162-12-8</t>
  </si>
  <si>
    <t>Sarung tangan non steril Uk. M</t>
  </si>
  <si>
    <t>22-09-132-10-7</t>
  </si>
  <si>
    <t>Sarung tangan non steril Uk. S</t>
  </si>
  <si>
    <t>23-02,027-02-6</t>
  </si>
  <si>
    <t>Sarung tangan non steril Uk. XS</t>
  </si>
  <si>
    <t>23-02,027-02-5</t>
  </si>
  <si>
    <t>Sarung tangan steril ginekologi Uk. L</t>
  </si>
  <si>
    <t>17262-03</t>
  </si>
  <si>
    <t>Sarung tangan steril ginekologi Uk. M</t>
  </si>
  <si>
    <t>17262-02</t>
  </si>
  <si>
    <t>Sarung tangan steril ginekologi Uk. S</t>
  </si>
  <si>
    <t>17262-01</t>
  </si>
  <si>
    <t>Sarung Tangan Steril No. 7</t>
  </si>
  <si>
    <t>Sarung tangan steril No. 7,5</t>
  </si>
  <si>
    <t>02,03,07112288</t>
  </si>
  <si>
    <t>Sarung Tangan steril no.8</t>
  </si>
  <si>
    <t>Sarung tangan steril S</t>
  </si>
  <si>
    <t>Sarung tangan steril Uk. S</t>
  </si>
  <si>
    <t>31803B008</t>
  </si>
  <si>
    <t>Sarung tangan steril XS</t>
  </si>
  <si>
    <t>Selang oksigen anak</t>
  </si>
  <si>
    <t>Selang oksigen bayi</t>
  </si>
  <si>
    <t>Selang oksigen dewasa</t>
  </si>
  <si>
    <t>Sendok kertas puyer</t>
  </si>
  <si>
    <t>Pack</t>
  </si>
  <si>
    <t>Sepatu Boot</t>
  </si>
  <si>
    <t>SILK 3/0</t>
  </si>
  <si>
    <t>26072488A</t>
  </si>
  <si>
    <t>Speculum logam (Marwa)</t>
  </si>
  <si>
    <t>Surgical Gown Hijau Muda</t>
  </si>
  <si>
    <t>Underpads</t>
  </si>
  <si>
    <t>02092488B</t>
  </si>
  <si>
    <t>01032588B</t>
  </si>
  <si>
    <t>Urin bag</t>
  </si>
  <si>
    <t>Urin bag 2000 ml</t>
  </si>
  <si>
    <t>Urin bag with hanger</t>
  </si>
  <si>
    <t>40605B003</t>
  </si>
  <si>
    <t>USG Gel 250 ml</t>
  </si>
  <si>
    <t>USG220425ADE</t>
  </si>
  <si>
    <t>CRUSG291223AFM</t>
  </si>
  <si>
    <t>CRUSG071223AFM</t>
  </si>
  <si>
    <t>USG Gel 250 ml (Baygel)</t>
  </si>
  <si>
    <t>USG Gel 250 ml (Onemed)</t>
  </si>
  <si>
    <t>USG Gel 5 L</t>
  </si>
  <si>
    <t>Wing Needle</t>
  </si>
  <si>
    <t>Wing needle no 27 G</t>
  </si>
  <si>
    <t>01072588L</t>
  </si>
  <si>
    <t>BAHAN LABORATORIUM</t>
  </si>
  <si>
    <t>Ari Soundtimer</t>
  </si>
  <si>
    <t>5205-5614</t>
  </si>
  <si>
    <t>Blood lancet</t>
  </si>
  <si>
    <t>20807A005</t>
  </si>
  <si>
    <t>20607A003</t>
  </si>
  <si>
    <t>30407A018</t>
  </si>
  <si>
    <t>Blood lancet (Ekomed)</t>
  </si>
  <si>
    <t>Test</t>
  </si>
  <si>
    <t>40607A002</t>
  </si>
  <si>
    <t>Cartridge VL GeneXpert</t>
  </si>
  <si>
    <t>Cartridge Xpert MTB/RIF</t>
  </si>
  <si>
    <t>May-26</t>
  </si>
  <si>
    <t>Catridge TCM</t>
  </si>
  <si>
    <t>Kit</t>
  </si>
  <si>
    <t>Cellclean</t>
  </si>
  <si>
    <t>A4021</t>
  </si>
  <si>
    <t>A4024</t>
  </si>
  <si>
    <t>Cellclean Auto</t>
  </si>
  <si>
    <t>A5058</t>
  </si>
  <si>
    <t>A5036</t>
  </si>
  <si>
    <t>Mart-26</t>
  </si>
  <si>
    <t>Cellpack</t>
  </si>
  <si>
    <t>AM5023</t>
  </si>
  <si>
    <t>Dec-26</t>
  </si>
  <si>
    <t xml:space="preserve">Cellpack </t>
  </si>
  <si>
    <t>Cellpack DCL</t>
  </si>
  <si>
    <t>AM5046</t>
  </si>
  <si>
    <t>Aug-26</t>
  </si>
  <si>
    <t>AM5157</t>
  </si>
  <si>
    <t>Eighcheck-3 WP ( L,N &amp; H)</t>
  </si>
  <si>
    <t>Dec-25</t>
  </si>
  <si>
    <t>HDL-C FS</t>
  </si>
  <si>
    <t>323345-40224044</t>
  </si>
  <si>
    <t>Insektisida Vektar</t>
  </si>
  <si>
    <t>Kaca slide/ Kaca objek</t>
  </si>
  <si>
    <t>Set</t>
  </si>
  <si>
    <t>Kertas EKG</t>
  </si>
  <si>
    <t>RLB1238800736</t>
  </si>
  <si>
    <t>24L04-ECG21020</t>
  </si>
  <si>
    <t>25B21-ECG11025</t>
  </si>
  <si>
    <t>24K29-ECG21020</t>
  </si>
  <si>
    <t>25C26-ECG11025</t>
  </si>
  <si>
    <t>KIT RPR</t>
  </si>
  <si>
    <t>Metanol</t>
  </si>
  <si>
    <t>Oct-26</t>
  </si>
  <si>
    <t>Paket BHP VL</t>
  </si>
  <si>
    <t>Pak</t>
  </si>
  <si>
    <t>Dec-28</t>
  </si>
  <si>
    <t>Pot dahak</t>
  </si>
  <si>
    <t>30610A017</t>
  </si>
  <si>
    <t>40610A006</t>
  </si>
  <si>
    <t>May-29</t>
  </si>
  <si>
    <t>Oct-28</t>
  </si>
  <si>
    <t>30610A027</t>
  </si>
  <si>
    <t>Pot urine</t>
  </si>
  <si>
    <t>40610B005</t>
  </si>
  <si>
    <t>RDT Chikungunya</t>
  </si>
  <si>
    <t>57347M1AC</t>
  </si>
  <si>
    <t>RDT Combo HIV/Sifilis (Everlife)</t>
  </si>
  <si>
    <t>2K022511B8</t>
  </si>
  <si>
    <t>RDT Covid (Arkan Medical)</t>
  </si>
  <si>
    <t>RDT DBD Virotec Combo (Fast Clear Q Dengue Dou Test)</t>
  </si>
  <si>
    <t>DD00124-C1</t>
  </si>
  <si>
    <t>DD00824-C1</t>
  </si>
  <si>
    <t>RDT DBD Virotec Combo (IgG/IgM &amp; NS1)</t>
  </si>
  <si>
    <t>H23018</t>
  </si>
  <si>
    <t>Aug-25</t>
  </si>
  <si>
    <t>H23017</t>
  </si>
  <si>
    <t>RDT Duo HIV/Syphilis D3teksi</t>
  </si>
  <si>
    <t>12082411BH</t>
  </si>
  <si>
    <t>RDT Duo HIV/Syphilis SD Bioline</t>
  </si>
  <si>
    <t>06AD1047A</t>
  </si>
  <si>
    <t>RDT HBEAg</t>
  </si>
  <si>
    <t>J25003</t>
  </si>
  <si>
    <t>RDT HCV</t>
  </si>
  <si>
    <t>20062411BJ</t>
  </si>
  <si>
    <t>RDT Hepatitis HBSAG</t>
  </si>
  <si>
    <t>J23042</t>
  </si>
  <si>
    <t>E25032</t>
  </si>
  <si>
    <t>May-27</t>
  </si>
  <si>
    <t>RDT HIV Arkan Medical OneStep Anti HIV (1/2)</t>
  </si>
  <si>
    <t>021123</t>
  </si>
  <si>
    <t>KOtak</t>
  </si>
  <si>
    <t>RDT HIV d3teksi HIV 1/2 Antibody RDT (3 Lines)</t>
  </si>
  <si>
    <t>13102311BB</t>
  </si>
  <si>
    <t>Oct-25</t>
  </si>
  <si>
    <t>06122411BB</t>
  </si>
  <si>
    <t>RDT HIV&amp;Syphilis Combo (INDEC)</t>
  </si>
  <si>
    <t>L23046</t>
  </si>
  <si>
    <t>L23047</t>
  </si>
  <si>
    <t>A24001</t>
  </si>
  <si>
    <t>RDT Malaria</t>
  </si>
  <si>
    <t>May-25</t>
  </si>
  <si>
    <t>05DEJ003A</t>
  </si>
  <si>
    <t>RDT Malaria Ag Bioline</t>
  </si>
  <si>
    <t>05EDJ009AB</t>
  </si>
  <si>
    <t>RDT Malaria Ag P.f Pan Abbott</t>
  </si>
  <si>
    <t>05EDJ008DE</t>
  </si>
  <si>
    <t>RDT Q HIV 1/2 Fastclear</t>
  </si>
  <si>
    <t>HVB01924-C1</t>
  </si>
  <si>
    <t>RDT Sifilis Imoq</t>
  </si>
  <si>
    <t>IRTS03092024BM</t>
  </si>
  <si>
    <t>RDT Sifilis Trepocheck</t>
  </si>
  <si>
    <t>J23034</t>
  </si>
  <si>
    <t>K23060</t>
  </si>
  <si>
    <t>RDT Sifilis Trepocheck (Frambusia)</t>
  </si>
  <si>
    <t>F24007</t>
  </si>
  <si>
    <t>RDT Virocheck HIV 1/2</t>
  </si>
  <si>
    <t>K23051</t>
  </si>
  <si>
    <t>L22047</t>
  </si>
  <si>
    <t>L24047</t>
  </si>
  <si>
    <t>Reagen Buffer pH 7,2</t>
  </si>
  <si>
    <t>180823BF7,2</t>
  </si>
  <si>
    <t>211023-BF7,2</t>
  </si>
  <si>
    <t>Reagen Giemsa</t>
  </si>
  <si>
    <t>btl</t>
  </si>
  <si>
    <t>Reagen Golongan Darah "A"</t>
  </si>
  <si>
    <t>Anti A00010</t>
  </si>
  <si>
    <t>A09250209</t>
  </si>
  <si>
    <t>Reagen Golongan Darah "AB "</t>
  </si>
  <si>
    <t>AH.AB.170924.26</t>
  </si>
  <si>
    <t>Reagen Golongan Darah "AB"</t>
  </si>
  <si>
    <t>Anti AB00010</t>
  </si>
  <si>
    <t>Reagen Golongan Darah "B"</t>
  </si>
  <si>
    <t>Anti B00010</t>
  </si>
  <si>
    <t>B09250109</t>
  </si>
  <si>
    <t>Oct-27</t>
  </si>
  <si>
    <t>Reagen Golongan Darah "D"</t>
  </si>
  <si>
    <t>Anti D00010</t>
  </si>
  <si>
    <t>Reagen Immersion</t>
  </si>
  <si>
    <t>120823-M</t>
  </si>
  <si>
    <t>151023-1M</t>
  </si>
  <si>
    <t>Reagen Kolesterol FS</t>
  </si>
  <si>
    <t>323253-41223043</t>
  </si>
  <si>
    <t>Reagen Photometer Asam Urat</t>
  </si>
  <si>
    <t>323261-41023851</t>
  </si>
  <si>
    <t>Reagen Photometer Glukosa</t>
  </si>
  <si>
    <t>323195-410223914</t>
  </si>
  <si>
    <t>Reagen Photometer Kolesterol</t>
  </si>
  <si>
    <t>323196-40823554</t>
  </si>
  <si>
    <t>Reagen Sanitarian Kit</t>
  </si>
  <si>
    <t>REF-KAMRT 200</t>
  </si>
  <si>
    <t>Reagen Triglycerides FS</t>
  </si>
  <si>
    <t>323276-41123823</t>
  </si>
  <si>
    <t>Reagen Widal "H"</t>
  </si>
  <si>
    <t>OCH</t>
  </si>
  <si>
    <t>Reagen Widal "O"</t>
  </si>
  <si>
    <t>OCO</t>
  </si>
  <si>
    <t>Reagen Widal H (Treuslab)</t>
  </si>
  <si>
    <t>060125.01</t>
  </si>
  <si>
    <t>Reagen Wright</t>
  </si>
  <si>
    <t>180823-WR</t>
  </si>
  <si>
    <t>Reagen Ziehl Neelson</t>
  </si>
  <si>
    <t>007/2023</t>
  </si>
  <si>
    <t>020/2023</t>
  </si>
  <si>
    <t>003/2024</t>
  </si>
  <si>
    <t>Stromatolyser-WH 500 ML</t>
  </si>
  <si>
    <t>AM5021</t>
  </si>
  <si>
    <t>Tabung vacutainer EDTA 0,5 ml</t>
  </si>
  <si>
    <t>Tabung vacutainer EDTA 3 ml</t>
  </si>
  <si>
    <t>2A017-1414</t>
  </si>
  <si>
    <t>Tabung Vacutiner Tutup Merah</t>
  </si>
  <si>
    <t>C24ANM001</t>
  </si>
  <si>
    <t>Test Asam Urat Strip Autocheck</t>
  </si>
  <si>
    <t>U24046040</t>
  </si>
  <si>
    <t>Test gluco protein urine</t>
  </si>
  <si>
    <t>01112188R1</t>
  </si>
  <si>
    <t>01122188R1</t>
  </si>
  <si>
    <t>09082188R1</t>
  </si>
  <si>
    <t>09082188RI</t>
  </si>
  <si>
    <t>01122188RI</t>
  </si>
  <si>
    <t>01112188RI</t>
  </si>
  <si>
    <t>Test Kehamilan (Ultra One)</t>
  </si>
  <si>
    <t>26042388V</t>
  </si>
  <si>
    <t>Test Kolesterol Strip Autocheck</t>
  </si>
  <si>
    <t>C24080040</t>
  </si>
  <si>
    <t>Test Kolesterol Strip LipidoCare</t>
  </si>
  <si>
    <t>TC200825-C2</t>
  </si>
  <si>
    <t>TC200825-C3</t>
  </si>
  <si>
    <t>Test Pemeriksaan Gula Darah</t>
  </si>
  <si>
    <t>Test Pemeriksaan Gula Darah (Prufen)</t>
  </si>
  <si>
    <t>A250410</t>
  </si>
  <si>
    <t>A020625</t>
  </si>
  <si>
    <t>Test pemeriksaan HB</t>
  </si>
  <si>
    <t>H24006050</t>
  </si>
  <si>
    <t>Test pemeriksaan HB Nubion</t>
  </si>
  <si>
    <t>H24012090</t>
  </si>
  <si>
    <t>H25008060</t>
  </si>
  <si>
    <t>H25011060</t>
  </si>
  <si>
    <t>Test pemeriksaan HB Prufen</t>
  </si>
  <si>
    <t>E090525340</t>
  </si>
  <si>
    <t>Test Pemeriksaan Urine 10 Parameter</t>
  </si>
  <si>
    <t>N2305031</t>
  </si>
  <si>
    <t>URS4040119</t>
  </si>
  <si>
    <t>Tipe mikro pipet warna biru</t>
  </si>
  <si>
    <t>Aug-28</t>
  </si>
  <si>
    <t>Tipe mikro pipet warna kuning</t>
  </si>
  <si>
    <t>Tipe mikro pipet warna putih</t>
  </si>
  <si>
    <t>Wing Needle (10% ODHIV)</t>
  </si>
  <si>
    <t>BAHAN GIGI</t>
  </si>
  <si>
    <t xml:space="preserve">1370A2 Z250 Universal Restorative </t>
  </si>
  <si>
    <t>Syringe</t>
  </si>
  <si>
    <t xml:space="preserve">1370A3 Z250 Universal Restorative </t>
  </si>
  <si>
    <t xml:space="preserve">1370A3.5 Z250 Universal Restorative </t>
  </si>
  <si>
    <t>Bonding</t>
  </si>
  <si>
    <t>920/23</t>
  </si>
  <si>
    <t>Calplus</t>
  </si>
  <si>
    <t>PK2526332</t>
  </si>
  <si>
    <t>Caviton</t>
  </si>
  <si>
    <t>PK23241348</t>
  </si>
  <si>
    <t>Clorofenol</t>
  </si>
  <si>
    <t>566/24</t>
  </si>
  <si>
    <t>Denpro Pulp-X (Devitalisasi Pasta)</t>
  </si>
  <si>
    <t>PK24252252</t>
  </si>
  <si>
    <t>Denpro Zinc F+ (Semen Seng Fosfat)</t>
  </si>
  <si>
    <t>PK2526112</t>
  </si>
  <si>
    <t>PK2526281</t>
  </si>
  <si>
    <t>Devitalisasi pasta</t>
  </si>
  <si>
    <t>PK23241061</t>
  </si>
  <si>
    <t>PK23241806</t>
  </si>
  <si>
    <t>EDTA Gel</t>
  </si>
  <si>
    <t>444/25</t>
  </si>
  <si>
    <t>Endoseal</t>
  </si>
  <si>
    <t>PK24252233</t>
  </si>
  <si>
    <t>Etil klorida semprot 100 ml</t>
  </si>
  <si>
    <t>Fuji IX Extra A3</t>
  </si>
  <si>
    <t>Gutta percha poins</t>
  </si>
  <si>
    <t>K - file</t>
  </si>
  <si>
    <t>Kalsium hidroksida pasta</t>
  </si>
  <si>
    <t>PK23241324</t>
  </si>
  <si>
    <t>Kertas artikulasi (articulating paper)</t>
  </si>
  <si>
    <t>K-Files 21 mm 15 - 40</t>
  </si>
  <si>
    <t>Unit</t>
  </si>
  <si>
    <t>K-Files 21 mm 45 - 80</t>
  </si>
  <si>
    <t>Klorfenol kamfer mentol (CHKM)</t>
  </si>
  <si>
    <t>PK2223119</t>
  </si>
  <si>
    <t>Klorheksidin 2%</t>
  </si>
  <si>
    <t>463/22</t>
  </si>
  <si>
    <t>Master Bond</t>
  </si>
  <si>
    <t>176/25</t>
  </si>
  <si>
    <t>Paper points</t>
  </si>
  <si>
    <t xml:space="preserve">Prevest Denpro (Camphenol) </t>
  </si>
  <si>
    <t>PK2526476</t>
  </si>
  <si>
    <t>PK24252515</t>
  </si>
  <si>
    <t>Scotchbond Universal</t>
  </si>
  <si>
    <t>Semen seng fosfat</t>
  </si>
  <si>
    <t>PK23241070</t>
  </si>
  <si>
    <t>Singlebond Universal</t>
  </si>
  <si>
    <t>Surgispon</t>
  </si>
  <si>
    <t>Strip</t>
  </si>
  <si>
    <t>Tricesolformalina</t>
  </si>
  <si>
    <t>794/24</t>
  </si>
  <si>
    <t>048/25</t>
  </si>
  <si>
    <t>TAB</t>
  </si>
  <si>
    <t>INJ</t>
  </si>
  <si>
    <t>NAR</t>
  </si>
  <si>
    <t>SAL</t>
  </si>
  <si>
    <t>SIR</t>
  </si>
  <si>
    <t>LAR</t>
  </si>
  <si>
    <t>SER</t>
  </si>
  <si>
    <t>BHL</t>
  </si>
  <si>
    <t>BHG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</si>
</sst>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mmm&quot;-&quot;yy"/>
    <numFmt numFmtId="165" formatCode="_-* #,##0.00_-;\-* #,##0.00_-;_-* &quot;-&quot;_-;_-@"/>
    <numFmt numFmtId="166" formatCode="_-* #,##0_-;\-* #,##0_-;_-* &quot;-&quot;??_-;_-@"/>
    <numFmt numFmtId="167" formatCode="_-* #,##0.0000_-;\-* #,##0.0000_-;_-* &quot;-&quot;??_-;_-@"/>
    <numFmt numFmtId="168" formatCode="_-* #,##0.00_-;\-* #,##0.00_-;_-* &quot;-&quot;??_-;_-@"/>
  </numFmts>
  <fonts count="10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8"/>
      <color theme="1"/>
      <name val="Arial"/>
      <family val="2"/>
    </font>
    <font>
      <b/>
      <sz val="10"/>
      <color theme="1"/>
      <name val="Aptos Narrow"/>
    </font>
    <font>
      <sz val="11"/>
      <name val="Aptos Narrow"/>
    </font>
    <font>
      <b/>
      <sz val="11"/>
      <color theme="1"/>
      <name val="Aptos Narrow"/>
    </font>
    <font>
      <sz val="11"/>
      <color theme="1"/>
      <name val="Aptos Narrow"/>
      <family val="2"/>
      <scheme val="minor"/>
    </font>
    <font>
      <sz val="11"/>
      <color theme="1"/>
      <name val="Aptos Narrow"/>
    </font>
    <font>
      <sz val="11"/>
      <color theme="1"/>
      <name val="Arial"/>
    </font>
    <font>
      <sz val="11"/>
      <color theme="1"/>
      <name val="Aptos Narrow"/>
      <family val="2"/>
    </font>
  </fonts>
  <fills count="15">
    <fill>
      <patternFill patternType="none"/>
    </fill>
    <fill>
      <patternFill patternType="gray125"/>
    </fill>
    <fill>
      <patternFill patternType="solid">
        <fgColor rgb="FF47D45A"/>
        <bgColor rgb="FF47D45A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60CBF3"/>
        <bgColor rgb="FF60CBF3"/>
      </patternFill>
    </fill>
    <fill>
      <patternFill patternType="solid">
        <fgColor rgb="FF00B0F0"/>
        <bgColor rgb="FF00B0F0"/>
      </patternFill>
    </fill>
    <fill>
      <patternFill patternType="solid">
        <fgColor rgb="FFBFBFBF"/>
        <bgColor rgb="FFBFBFBF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FF9900"/>
        <bgColor rgb="FFFF9900"/>
      </patternFill>
    </fill>
    <fill>
      <patternFill patternType="solid">
        <fgColor rgb="FFF6B26B"/>
        <bgColor rgb="FFF6B26B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165" fontId="3" fillId="4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166" fontId="3" fillId="8" borderId="1" xfId="0" applyNumberFormat="1" applyFont="1" applyFill="1" applyBorder="1" applyAlignment="1">
      <alignment horizontal="center" vertical="center"/>
    </xf>
    <xf numFmtId="165" fontId="3" fillId="8" borderId="1" xfId="0" applyNumberFormat="1" applyFont="1" applyFill="1" applyBorder="1" applyAlignment="1">
      <alignment horizontal="center" vertical="center"/>
    </xf>
    <xf numFmtId="167" fontId="3" fillId="8" borderId="11" xfId="0" applyNumberFormat="1" applyFont="1" applyFill="1" applyBorder="1" applyAlignment="1">
      <alignment horizontal="center" vertical="center"/>
    </xf>
    <xf numFmtId="0" fontId="3" fillId="8" borderId="1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vertical="center"/>
    </xf>
    <xf numFmtId="0" fontId="5" fillId="4" borderId="11" xfId="0" applyFont="1" applyFill="1" applyBorder="1" applyAlignment="1">
      <alignment vertical="center" wrapText="1"/>
    </xf>
    <xf numFmtId="0" fontId="5" fillId="4" borderId="11" xfId="0" applyFont="1" applyFill="1" applyBorder="1" applyAlignment="1">
      <alignment horizontal="right" vertical="center"/>
    </xf>
    <xf numFmtId="164" fontId="5" fillId="4" borderId="11" xfId="0" applyNumberFormat="1" applyFont="1" applyFill="1" applyBorder="1" applyAlignment="1">
      <alignment vertical="center"/>
    </xf>
    <xf numFmtId="165" fontId="5" fillId="4" borderId="11" xfId="0" applyNumberFormat="1" applyFont="1" applyFill="1" applyBorder="1" applyAlignment="1">
      <alignment vertical="center"/>
    </xf>
    <xf numFmtId="166" fontId="5" fillId="4" borderId="11" xfId="0" applyNumberFormat="1" applyFont="1" applyFill="1" applyBorder="1" applyAlignment="1">
      <alignment vertical="center"/>
    </xf>
    <xf numFmtId="43" fontId="0" fillId="0" borderId="0" xfId="0" applyNumberFormat="1" applyAlignment="1">
      <alignment vertical="center"/>
    </xf>
    <xf numFmtId="0" fontId="6" fillId="0" borderId="0" xfId="0" applyFont="1" applyAlignment="1">
      <alignment horizontal="center" vertical="center"/>
    </xf>
    <xf numFmtId="0" fontId="0" fillId="9" borderId="0" xfId="0" applyFill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12" xfId="0" applyFont="1" applyBorder="1" applyAlignment="1">
      <alignment vertical="center" wrapText="1"/>
    </xf>
    <xf numFmtId="0" fontId="7" fillId="0" borderId="12" xfId="0" applyFont="1" applyBorder="1" applyAlignment="1">
      <alignment vertical="center"/>
    </xf>
    <xf numFmtId="0" fontId="7" fillId="0" borderId="12" xfId="0" applyFont="1" applyBorder="1" applyAlignment="1">
      <alignment horizontal="right" vertical="center"/>
    </xf>
    <xf numFmtId="164" fontId="7" fillId="0" borderId="12" xfId="0" applyNumberFormat="1" applyFont="1" applyBorder="1" applyAlignment="1">
      <alignment vertical="center"/>
    </xf>
    <xf numFmtId="165" fontId="7" fillId="0" borderId="12" xfId="0" applyNumberFormat="1" applyFont="1" applyBorder="1" applyAlignment="1">
      <alignment vertical="center"/>
    </xf>
    <xf numFmtId="166" fontId="7" fillId="0" borderId="12" xfId="0" applyNumberFormat="1" applyFont="1" applyBorder="1" applyAlignment="1">
      <alignment vertical="center"/>
    </xf>
    <xf numFmtId="167" fontId="7" fillId="0" borderId="12" xfId="0" applyNumberFormat="1" applyFont="1" applyBorder="1" applyAlignment="1">
      <alignment vertical="center"/>
    </xf>
    <xf numFmtId="167" fontId="7" fillId="0" borderId="8" xfId="0" applyNumberFormat="1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7" fillId="0" borderId="11" xfId="0" applyFont="1" applyBorder="1" applyAlignment="1">
      <alignment vertical="center" wrapText="1"/>
    </xf>
    <xf numFmtId="0" fontId="7" fillId="0" borderId="11" xfId="0" applyFont="1" applyBorder="1" applyAlignment="1">
      <alignment vertical="center"/>
    </xf>
    <xf numFmtId="0" fontId="7" fillId="0" borderId="11" xfId="0" applyFont="1" applyBorder="1" applyAlignment="1">
      <alignment horizontal="right" vertical="center"/>
    </xf>
    <xf numFmtId="164" fontId="7" fillId="0" borderId="11" xfId="0" applyNumberFormat="1" applyFont="1" applyBorder="1" applyAlignment="1">
      <alignment vertical="center"/>
    </xf>
    <xf numFmtId="165" fontId="7" fillId="0" borderId="11" xfId="0" applyNumberFormat="1" applyFont="1" applyBorder="1" applyAlignment="1">
      <alignment vertical="center"/>
    </xf>
    <xf numFmtId="166" fontId="7" fillId="0" borderId="11" xfId="0" applyNumberFormat="1" applyFont="1" applyBorder="1" applyAlignment="1">
      <alignment vertical="center"/>
    </xf>
    <xf numFmtId="168" fontId="7" fillId="0" borderId="11" xfId="0" applyNumberFormat="1" applyFont="1" applyBorder="1" applyAlignment="1">
      <alignment vertical="center"/>
    </xf>
    <xf numFmtId="168" fontId="7" fillId="0" borderId="14" xfId="0" applyNumberFormat="1" applyFont="1" applyBorder="1" applyAlignment="1">
      <alignment vertical="center"/>
    </xf>
    <xf numFmtId="0" fontId="1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11" xfId="0" applyFont="1" applyBorder="1" applyAlignment="1">
      <alignment vertical="center"/>
    </xf>
    <xf numFmtId="0" fontId="8" fillId="0" borderId="11" xfId="0" applyFont="1" applyBorder="1" applyAlignment="1">
      <alignment horizontal="right" vertical="center"/>
    </xf>
    <xf numFmtId="164" fontId="8" fillId="0" borderId="11" xfId="0" applyNumberFormat="1" applyFont="1" applyBorder="1" applyAlignment="1">
      <alignment horizontal="right" vertical="center"/>
    </xf>
    <xf numFmtId="165" fontId="8" fillId="0" borderId="11" xfId="0" applyNumberFormat="1" applyFont="1" applyBorder="1" applyAlignment="1">
      <alignment horizontal="right" vertical="center"/>
    </xf>
    <xf numFmtId="0" fontId="7" fillId="0" borderId="3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right" vertical="center"/>
    </xf>
    <xf numFmtId="164" fontId="7" fillId="0" borderId="1" xfId="0" applyNumberFormat="1" applyFont="1" applyBorder="1" applyAlignment="1">
      <alignment vertical="center"/>
    </xf>
    <xf numFmtId="165" fontId="7" fillId="0" borderId="1" xfId="0" applyNumberFormat="1" applyFont="1" applyBorder="1" applyAlignment="1">
      <alignment vertical="center"/>
    </xf>
    <xf numFmtId="166" fontId="7" fillId="0" borderId="1" xfId="0" applyNumberFormat="1" applyFont="1" applyBorder="1" applyAlignment="1">
      <alignment vertical="center"/>
    </xf>
    <xf numFmtId="168" fontId="7" fillId="0" borderId="12" xfId="0" applyNumberFormat="1" applyFont="1" applyBorder="1" applyAlignment="1">
      <alignment vertical="center"/>
    </xf>
    <xf numFmtId="168" fontId="7" fillId="0" borderId="8" xfId="0" applyNumberFormat="1" applyFont="1" applyBorder="1" applyAlignment="1">
      <alignment vertical="center"/>
    </xf>
    <xf numFmtId="164" fontId="8" fillId="10" borderId="11" xfId="0" applyNumberFormat="1" applyFont="1" applyFill="1" applyBorder="1" applyAlignment="1">
      <alignment vertical="center"/>
    </xf>
    <xf numFmtId="0" fontId="7" fillId="10" borderId="11" xfId="0" applyFont="1" applyFill="1" applyBorder="1" applyAlignment="1">
      <alignment horizontal="right" vertical="center"/>
    </xf>
    <xf numFmtId="0" fontId="7" fillId="10" borderId="11" xfId="0" applyFont="1" applyFill="1" applyBorder="1" applyAlignment="1">
      <alignment vertical="center" wrapText="1"/>
    </xf>
    <xf numFmtId="166" fontId="7" fillId="11" borderId="11" xfId="0" applyNumberFormat="1" applyFont="1" applyFill="1" applyBorder="1" applyAlignment="1">
      <alignment vertical="center"/>
    </xf>
    <xf numFmtId="164" fontId="7" fillId="11" borderId="11" xfId="0" applyNumberFormat="1" applyFont="1" applyFill="1" applyBorder="1" applyAlignment="1">
      <alignment vertical="center"/>
    </xf>
    <xf numFmtId="165" fontId="7" fillId="11" borderId="11" xfId="0" applyNumberFormat="1" applyFont="1" applyFill="1" applyBorder="1" applyAlignment="1">
      <alignment vertical="center"/>
    </xf>
    <xf numFmtId="0" fontId="1" fillId="12" borderId="0" xfId="0" applyFont="1" applyFill="1" applyAlignment="1">
      <alignment vertical="center"/>
    </xf>
    <xf numFmtId="166" fontId="7" fillId="10" borderId="11" xfId="0" applyNumberFormat="1" applyFont="1" applyFill="1" applyBorder="1" applyAlignment="1">
      <alignment vertical="center"/>
    </xf>
    <xf numFmtId="0" fontId="7" fillId="12" borderId="13" xfId="0" applyFont="1" applyFill="1" applyBorder="1" applyAlignment="1">
      <alignment vertical="center"/>
    </xf>
    <xf numFmtId="0" fontId="7" fillId="12" borderId="11" xfId="0" applyFont="1" applyFill="1" applyBorder="1" applyAlignment="1">
      <alignment vertical="center" wrapText="1"/>
    </xf>
    <xf numFmtId="0" fontId="7" fillId="12" borderId="11" xfId="0" applyFont="1" applyFill="1" applyBorder="1" applyAlignment="1">
      <alignment vertical="center"/>
    </xf>
    <xf numFmtId="0" fontId="7" fillId="12" borderId="11" xfId="0" applyFont="1" applyFill="1" applyBorder="1" applyAlignment="1">
      <alignment horizontal="right" vertical="center"/>
    </xf>
    <xf numFmtId="164" fontId="7" fillId="12" borderId="11" xfId="0" applyNumberFormat="1" applyFont="1" applyFill="1" applyBorder="1" applyAlignment="1">
      <alignment vertical="center"/>
    </xf>
    <xf numFmtId="165" fontId="7" fillId="12" borderId="11" xfId="0" applyNumberFormat="1" applyFont="1" applyFill="1" applyBorder="1" applyAlignment="1">
      <alignment vertical="center"/>
    </xf>
    <xf numFmtId="166" fontId="7" fillId="12" borderId="11" xfId="0" applyNumberFormat="1" applyFont="1" applyFill="1" applyBorder="1" applyAlignment="1">
      <alignment vertical="center"/>
    </xf>
    <xf numFmtId="0" fontId="7" fillId="4" borderId="11" xfId="0" applyFont="1" applyFill="1" applyBorder="1" applyAlignment="1">
      <alignment vertical="center"/>
    </xf>
    <xf numFmtId="11" fontId="0" fillId="0" borderId="0" xfId="0" applyNumberFormat="1" applyAlignment="1">
      <alignment vertical="center"/>
    </xf>
    <xf numFmtId="164" fontId="8" fillId="3" borderId="11" xfId="0" applyNumberFormat="1" applyFont="1" applyFill="1" applyBorder="1" applyAlignment="1">
      <alignment vertical="center"/>
    </xf>
    <xf numFmtId="0" fontId="7" fillId="0" borderId="11" xfId="0" quotePrefix="1" applyFont="1" applyBorder="1" applyAlignment="1">
      <alignment horizontal="right" vertical="center"/>
    </xf>
    <xf numFmtId="164" fontId="7" fillId="13" borderId="11" xfId="0" applyNumberFormat="1" applyFont="1" applyFill="1" applyBorder="1" applyAlignment="1">
      <alignment vertical="center"/>
    </xf>
    <xf numFmtId="0" fontId="9" fillId="0" borderId="11" xfId="0" applyFont="1" applyBorder="1" applyAlignment="1">
      <alignment vertical="center" wrapText="1"/>
    </xf>
    <xf numFmtId="0" fontId="7" fillId="3" borderId="11" xfId="0" applyFont="1" applyFill="1" applyBorder="1" applyAlignment="1">
      <alignment horizontal="right" vertical="center"/>
    </xf>
    <xf numFmtId="0" fontId="7" fillId="9" borderId="11" xfId="0" applyFont="1" applyFill="1" applyBorder="1" applyAlignment="1">
      <alignment vertical="center" wrapText="1"/>
    </xf>
    <xf numFmtId="17" fontId="8" fillId="3" borderId="11" xfId="0" applyNumberFormat="1" applyFont="1" applyFill="1" applyBorder="1" applyAlignment="1">
      <alignment vertical="center"/>
    </xf>
    <xf numFmtId="164" fontId="7" fillId="3" borderId="11" xfId="0" applyNumberFormat="1" applyFont="1" applyFill="1" applyBorder="1" applyAlignment="1">
      <alignment vertical="center"/>
    </xf>
    <xf numFmtId="168" fontId="7" fillId="12" borderId="11" xfId="0" applyNumberFormat="1" applyFont="1" applyFill="1" applyBorder="1" applyAlignment="1">
      <alignment vertical="center"/>
    </xf>
    <xf numFmtId="166" fontId="8" fillId="10" borderId="11" xfId="0" applyNumberFormat="1" applyFont="1" applyFill="1" applyBorder="1" applyAlignment="1">
      <alignment vertical="center"/>
    </xf>
    <xf numFmtId="0" fontId="7" fillId="3" borderId="11" xfId="0" applyFont="1" applyFill="1" applyBorder="1" applyAlignment="1">
      <alignment vertical="center" wrapText="1"/>
    </xf>
    <xf numFmtId="0" fontId="1" fillId="14" borderId="0" xfId="0" applyFont="1" applyFill="1" applyAlignment="1">
      <alignment vertical="center"/>
    </xf>
    <xf numFmtId="168" fontId="7" fillId="0" borderId="1" xfId="0" applyNumberFormat="1" applyFont="1" applyBorder="1" applyAlignment="1">
      <alignment vertical="center"/>
    </xf>
    <xf numFmtId="0" fontId="7" fillId="4" borderId="12" xfId="0" applyFont="1" applyFill="1" applyBorder="1" applyAlignment="1">
      <alignment vertical="center"/>
    </xf>
    <xf numFmtId="0" fontId="5" fillId="4" borderId="12" xfId="0" applyFont="1" applyFill="1" applyBorder="1" applyAlignment="1">
      <alignment vertical="center" wrapText="1"/>
    </xf>
    <xf numFmtId="0" fontId="5" fillId="4" borderId="12" xfId="0" applyFont="1" applyFill="1" applyBorder="1" applyAlignment="1">
      <alignment vertical="center"/>
    </xf>
    <xf numFmtId="0" fontId="5" fillId="4" borderId="12" xfId="0" applyFont="1" applyFill="1" applyBorder="1" applyAlignment="1">
      <alignment horizontal="right" vertical="center"/>
    </xf>
    <xf numFmtId="164" fontId="5" fillId="4" borderId="12" xfId="0" applyNumberFormat="1" applyFont="1" applyFill="1" applyBorder="1" applyAlignment="1">
      <alignment vertical="center"/>
    </xf>
    <xf numFmtId="165" fontId="5" fillId="4" borderId="12" xfId="0" applyNumberFormat="1" applyFont="1" applyFill="1" applyBorder="1" applyAlignment="1">
      <alignment vertical="center"/>
    </xf>
    <xf numFmtId="166" fontId="5" fillId="4" borderId="12" xfId="0" applyNumberFormat="1" applyFont="1" applyFill="1" applyBorder="1" applyAlignment="1">
      <alignment vertical="center"/>
    </xf>
    <xf numFmtId="164" fontId="7" fillId="10" borderId="11" xfId="0" applyNumberFormat="1" applyFont="1" applyFill="1" applyBorder="1" applyAlignment="1">
      <alignment vertical="center"/>
    </xf>
    <xf numFmtId="166" fontId="8" fillId="0" borderId="11" xfId="0" applyNumberFormat="1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10" borderId="11" xfId="0" applyFont="1" applyFill="1" applyBorder="1" applyAlignment="1">
      <alignment vertical="center"/>
    </xf>
    <xf numFmtId="165" fontId="7" fillId="10" borderId="11" xfId="0" applyNumberFormat="1" applyFont="1" applyFill="1" applyBorder="1" applyAlignment="1">
      <alignment vertical="center"/>
    </xf>
    <xf numFmtId="0" fontId="7" fillId="12" borderId="3" xfId="0" applyFont="1" applyFill="1" applyBorder="1" applyAlignment="1">
      <alignment vertical="center"/>
    </xf>
    <xf numFmtId="168" fontId="7" fillId="0" borderId="2" xfId="0" applyNumberFormat="1" applyFont="1" applyBorder="1" applyAlignment="1">
      <alignment vertical="center"/>
    </xf>
  </cellXfs>
  <cellStyles count="1">
    <cellStyle name="Normal" xfId="0" builtinId="0"/>
  </cellStyles>
  <dxfs count="223">
    <dxf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8" formatCode="_-* #,##0.00_-;\-* #,##0.00_-;_-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6" formatCode="_-* #,##0_-;\-* #,##0_-;_-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8" formatCode="_-* #,##0.00_-;\-* #,##0.00_-;_-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6" formatCode="_-* #,##0_-;\-* #,##0_-;_-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8" formatCode="_-* #,##0.00_-;\-* #,##0.00_-;_-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6" formatCode="_-* #,##0_-;\-* #,##0_-;_-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8" formatCode="_-* #,##0.00_-;\-* #,##0.00_-;_-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6" formatCode="_-* #,##0_-;\-* #,##0_-;_-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5" formatCode="_-* #,##0.00_-;\-* #,##0.00_-;_-* &quot;-&quot;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6" formatCode="_-* #,##0_-;\-* #,##0_-;_-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5" formatCode="_-* #,##0.00_-;\-* #,##0.00_-;_-* &quot;-&quot;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4" formatCode="mmm&quot;-&quot;yy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70" formatCode="_-* #.##000_-;\-* #.##000_-;_-* &quot;-&quot;??_-;_-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8" formatCode="_-* #,##0.00_-;\-* #,##0.00_-;_-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8" formatCode="_-* #,##0.00_-;\-* #,##0.00_-;_-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6" formatCode="_-* #,##0_-;\-* #,##0_-;_-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8" formatCode="_-* #,##0.00_-;\-* #,##0.00_-;_-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6" formatCode="_-* #,##0_-;\-* #,##0_-;_-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8" formatCode="_-* #,##0.00_-;\-* #,##0.00_-;_-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6" formatCode="_-* #,##0_-;\-* #,##0_-;_-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8" formatCode="_-* #,##0.00_-;\-* #,##0.00_-;_-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6" formatCode="_-* #,##0_-;\-* #,##0_-;_-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5" formatCode="_-* #,##0.00_-;\-* #,##0.00_-;_-* &quot;-&quot;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6" formatCode="_-* #,##0_-;\-* #,##0_-;_-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5" formatCode="_-* #,##0.00_-;\-* #,##0.00_-;_-* &quot;-&quot;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4" formatCode="mmm&quot;-&quot;yy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solid">
          <fgColor rgb="FFEAD1DC"/>
          <bgColor rgb="FFEAD1DC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70" formatCode="_-* #.##000_-;\-* #.##000_-;_-* &quot;-&quot;??_-;_-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8" formatCode="_-* #,##0.00_-;\-* #,##0.00_-;_-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8" formatCode="_-* #,##0.00_-;\-* #,##0.00_-;_-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6" formatCode="_-* #,##0_-;\-* #,##0_-;_-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8" formatCode="_-* #,##0.00_-;\-* #,##0.00_-;_-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6" formatCode="_-* #,##0_-;\-* #,##0_-;_-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8" formatCode="_-* #,##0.00_-;\-* #,##0.00_-;_-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6" formatCode="_-* #,##0_-;\-* #,##0_-;_-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8" formatCode="_-* #,##0.00_-;\-* #,##0.00_-;_-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6" formatCode="_-* #,##0_-;\-* #,##0_-;_-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5" formatCode="_-* #,##0.00_-;\-* #,##0.00_-;_-* &quot;-&quot;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6" formatCode="_-* #,##0_-;\-* #,##0_-;_-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5" formatCode="_-* #,##0.00_-;\-* #,##0.00_-;_-* &quot;-&quot;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4" formatCode="mmm&quot;-&quot;yy"/>
      <fill>
        <patternFill patternType="solid">
          <fgColor rgb="FFFF9900"/>
          <bgColor rgb="FFFF990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70" formatCode="_-* #.##000_-;\-* #.##000_-;_-* &quot;-&quot;??_-;_-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8" formatCode="_-* #,##0.00_-;\-* #,##0.00_-;_-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8" formatCode="_-* #,##0.00_-;\-* #,##0.00_-;_-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6" formatCode="_-* #,##0_-;\-* #,##0_-;_-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8" formatCode="_-* #,##0.00_-;\-* #,##0.00_-;_-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6" formatCode="_-* #,##0_-;\-* #,##0_-;_-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8" formatCode="_-* #,##0.00_-;\-* #,##0.00_-;_-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6" formatCode="_-* #,##0_-;\-* #,##0_-;_-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8" formatCode="_-* #,##0.00_-;\-* #,##0.00_-;_-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6" formatCode="_-* #,##0_-;\-* #,##0_-;_-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5" formatCode="_-* #,##0.00_-;\-* #,##0.00_-;_-* &quot;-&quot;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6" formatCode="_-* #,##0_-;\-* #,##0_-;_-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5" formatCode="_-* #,##0.00_-;\-* #,##0.00_-;_-* &quot;-&quot;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4" formatCode="mmm&quot;-&quot;yy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70" formatCode="_-* #.##000_-;\-* #.##000_-;_-* &quot;-&quot;??_-;_-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8" formatCode="_-* #,##0.00_-;\-* #,##0.00_-;_-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8" formatCode="_-* #,##0.00_-;\-* #,##0.00_-;_-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6" formatCode="_-* #,##0_-;\-* #,##0_-;_-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8" formatCode="_-* #,##0.00_-;\-* #,##0.00_-;_-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6" formatCode="_-* #,##0_-;\-* #,##0_-;_-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8" formatCode="_-* #,##0.00_-;\-* #,##0.00_-;_-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6" formatCode="_-* #,##0_-;\-* #,##0_-;_-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8" formatCode="_-* #,##0.00_-;\-* #,##0.00_-;_-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6" formatCode="_-* #,##0_-;\-* #,##0_-;_-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5" formatCode="_-* #,##0.00_-;\-* #,##0.00_-;_-* &quot;-&quot;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6" formatCode="_-* #,##0_-;\-* #,##0_-;_-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5" formatCode="_-* #,##0.00_-;\-* #,##0.00_-;_-* &quot;-&quot;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4" formatCode="mmm&quot;-&quot;yy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70" formatCode="_-* #.##000_-;\-* #.##000_-;_-* &quot;-&quot;??_-;_-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8" formatCode="_-* #,##0.00_-;\-* #,##0.00_-;_-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8" formatCode="_-* #,##0.00_-;\-* #,##0.00_-;_-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6" formatCode="_-* #,##0_-;\-* #,##0_-;_-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8" formatCode="_-* #,##0.00_-;\-* #,##0.00_-;_-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6" formatCode="_-* #,##0_-;\-* #,##0_-;_-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8" formatCode="_-* #,##0.00_-;\-* #,##0.00_-;_-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6" formatCode="_-* #,##0_-;\-* #,##0_-;_-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8" formatCode="_-* #,##0.00_-;\-* #,##0.00_-;_-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6" formatCode="_-* #,##0_-;\-* #,##0_-;_-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5" formatCode="_-* #,##0.00_-;\-* #,##0.00_-;_-* &quot;-&quot;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6" formatCode="_-* #,##0_-;\-* #,##0_-;_-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5" formatCode="_-* #,##0.00_-;\-* #,##0.00_-;_-* &quot;-&quot;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4" formatCode="mmm&quot;-&quot;yy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70" formatCode="_-* #.##000_-;\-* #.##000_-;_-* &quot;-&quot;??_-;_-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8" formatCode="_-* #,##0.00_-;\-* #,##0.00_-;_-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8" formatCode="_-* #,##0.00_-;\-* #,##0.00_-;_-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6" formatCode="_-* #,##0_-;\-* #,##0_-;_-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8" formatCode="_-* #,##0.00_-;\-* #,##0.00_-;_-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6" formatCode="_-* #,##0_-;\-* #,##0_-;_-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8" formatCode="_-* #,##0.00_-;\-* #,##0.00_-;_-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6" formatCode="_-* #,##0_-;\-* #,##0_-;_-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8" formatCode="_-* #,##0.00_-;\-* #,##0.00_-;_-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6" formatCode="_-* #,##0_-;\-* #,##0_-;_-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5" formatCode="_-* #,##0.00_-;\-* #,##0.00_-;_-* &quot;-&quot;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6" formatCode="_-* #,##0_-;\-* #,##0_-;_-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5" formatCode="_-* #,##0.00_-;\-* #,##0.00_-;_-* &quot;-&quot;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4" formatCode="mmm&quot;-&quot;yy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70" formatCode="_-* #.##000_-;\-* #.##000_-;_-* &quot;-&quot;??_-;_-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8" formatCode="_-* #,##0.00_-;\-* #,##0.00_-;_-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8" formatCode="_-* #,##0.00_-;\-* #,##0.00_-;_-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6" formatCode="_-* #,##0_-;\-* #,##0_-;_-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8" formatCode="_-* #,##0.00_-;\-* #,##0.00_-;_-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6" formatCode="_-* #,##0_-;\-* #,##0_-;_-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8" formatCode="_-* #,##0.00_-;\-* #,##0.00_-;_-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6" formatCode="_-* #,##0_-;\-* #,##0_-;_-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8" formatCode="_-* #,##0.00_-;\-* #,##0.00_-;_-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6" formatCode="_-* #,##0_-;\-* #,##0_-;_-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5" formatCode="_-* #,##0.00_-;\-* #,##0.00_-;_-* &quot;-&quot;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6" formatCode="_-* #,##0_-;\-* #,##0_-;_-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5" formatCode="_-* #,##0.00_-;\-* #,##0.00_-;_-* &quot;-&quot;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4" formatCode="mmm&quot;-&quot;yy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70" formatCode="_-* #.##000_-;\-* #.##000_-;_-* &quot;-&quot;??_-;_-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8" formatCode="_-* #,##0.00_-;\-* #,##0.00_-;_-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8" formatCode="_-* #,##0.00_-;\-* #,##0.00_-;_-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6" formatCode="_-* #,##0_-;\-* #,##0_-;_-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8" formatCode="_-* #,##0.00_-;\-* #,##0.00_-;_-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6" formatCode="_-* #,##0_-;\-* #,##0_-;_-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8" formatCode="_-* #,##0.00_-;\-* #,##0.00_-;_-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6" formatCode="_-* #,##0_-;\-* #,##0_-;_-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8" formatCode="_-* #,##0.00_-;\-* #,##0.00_-;_-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6" formatCode="_-* #,##0_-;\-* #,##0_-;_-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5" formatCode="_-* #,##0.00_-;\-* #,##0.00_-;_-* &quot;-&quot;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6" formatCode="_-* #,##0_-;\-* #,##0_-;_-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5" formatCode="_-* #,##0.00_-;\-* #,##0.00_-;_-* &quot;-&quot;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4" formatCode="mmm&quot;-&quot;yy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70" formatCode="_-* #.##000_-;\-* #.##000_-;_-* &quot;-&quot;??_-;_-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8" formatCode="_-* #,##0.00_-;\-* #,##0.00_-;_-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8" formatCode="_-* #,##0.00_-;\-* #,##0.00_-;_-* &quot;-&quot;??_-;_-@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6" formatCode="_-* #,##0_-;\-* #,##0_-;_-* &quot;-&quot;??_-;_-@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8" formatCode="_-* #,##0.00_-;\-* #,##0.00_-;_-* &quot;-&quot;??_-;_-@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6" formatCode="_-* #,##0_-;\-* #,##0_-;_-* &quot;-&quot;??_-;_-@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8" formatCode="_-* #,##0.00_-;\-* #,##0.00_-;_-* &quot;-&quot;??_-;_-@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6" formatCode="_-* #,##0_-;\-* #,##0_-;_-* &quot;-&quot;??_-;_-@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8" formatCode="_-* #,##0.00_-;\-* #,##0.00_-;_-* &quot;-&quot;??_-;_-@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6" formatCode="_-* #,##0_-;\-* #,##0_-;_-* &quot;-&quot;??_-;_-@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5" formatCode="_-* #,##0.00_-;\-* #,##0.00_-;_-* &quot;-&quot;_-;_-@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6" formatCode="_-* #,##0_-;\-* #,##0_-;_-* &quot;-&quot;??_-;_-@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none"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5" formatCode="_-* #,##0.00_-;\-* #,##0.00_-;_-* &quot;-&quot;_-;_-@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4" formatCode="mmm&quot;-&quot;yy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none"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none"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9" formatCode="_-* #.##00000_-;\-* #.##00000_-;_-* &quot;-&quot;??_-;_-@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7" formatCode="_-* #,##0.0000_-;\-* #,##0.0000_-;_-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Persediaan\Persediaan%202025\%60LAPORAN%20PERSEDIAAN\unAUDITED\IFK\VERIFIKASI\LAPORAN%20PERSEDIAAN%20INSTALASI%20FARMASI%202024%20-%2019%20Mei%202025.xlsx" TargetMode="External"/><Relationship Id="rId1" Type="http://schemas.openxmlformats.org/officeDocument/2006/relationships/externalLinkPath" Target="file:///G:\My%20Drive\Persediaan\Persediaan%202025\%60LAPORAN%20PERSEDIAAN\unAUDITED\IFK\VERIFIKASI\LAPORAN%20PERSEDIAAN%20INSTALASI%20FARMASI%202024%20-%2019%20Mei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Persediaan\Persediaan%202025\%60LAPORAN%20PERSEDIAAN\unAUDITED\IFK\DRAFT%20PERSEDIAAN%202025-NEW.xlsx" TargetMode="External"/><Relationship Id="rId1" Type="http://schemas.openxmlformats.org/officeDocument/2006/relationships/externalLinkPath" Target="file:///G:\My%20Drive\Persediaan\Persediaan%202025\%60LAPORAN%20PERSEDIAAN\unAUDITED\IFK\DRAFT%20PERSEDIAAN%202025-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KAP 2024"/>
      <sheetName val="REKAP 2024 no pkm"/>
      <sheetName val="RINCIAN IFK"/>
      <sheetName val="RINCIAN APBD"/>
      <sheetName val="RINCIAN BTT"/>
      <sheetName val="RINCIAN HIBAH"/>
      <sheetName val="RINCIAN DONASI"/>
      <sheetName val="MTQH"/>
      <sheetName val="RSSI"/>
      <sheetName val="REKAP PKM"/>
      <sheetName val="REKAP JKN"/>
      <sheetName val="REKAP BKKBN"/>
      <sheetName val="LABKESDA"/>
      <sheetName val="COVID"/>
      <sheetName val="BOK"/>
      <sheetName val="ARV"/>
    </sheetNames>
    <sheetDataSet>
      <sheetData sheetId="0"/>
      <sheetData sheetId="1"/>
      <sheetData sheetId="2">
        <row r="669">
          <cell r="AV669">
            <v>3022724008.1463804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KAP 2025"/>
      <sheetName val="DATA-MASTER"/>
      <sheetName val="RINCIAN-APBD"/>
      <sheetName val="RINCIAN-HIBAH"/>
      <sheetName val="RINCIAN-BTT"/>
      <sheetName val="RINCIAN-DONASI"/>
      <sheetName val="MTQH"/>
      <sheetName val="STOK OPNAME 2025"/>
      <sheetName val="PENERIMAAN HIBAH"/>
      <sheetName val="REKAP ED"/>
      <sheetName val="REKAP-DRAFT"/>
      <sheetName val="REKAPITULASI"/>
      <sheetName val="CATATAN ED"/>
      <sheetName val="RINCI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2C1949-FB08-40FC-9085-E1C72912B6CB}" name="tablet" displayName="tablet" ref="A8:Q291" totalsRowShown="0" headerRowDxfId="222" dataDxfId="221" headerRowBorderDxfId="219" tableBorderDxfId="220" totalsRowBorderDxfId="218">
  <autoFilter ref="A8:Q291" xr:uid="{7714A6E3-DB5B-4785-8EDD-73ED124CCD7D}"/>
  <tableColumns count="17">
    <tableColumn id="1" xr3:uid="{20985F69-EBC5-481B-8AD3-9E986F329D20}" name="no" dataDxfId="217"/>
    <tableColumn id="2" xr3:uid="{F8E53BDD-1910-40E1-B597-ABA507BA0AA0}" name="namaBarang" dataDxfId="216"/>
    <tableColumn id="3" xr3:uid="{573210E6-7B11-43F7-9731-7232AA4859FD}" name="satuan" dataDxfId="215"/>
    <tableColumn id="4" xr3:uid="{B54F6E92-7CCC-41D3-B985-88394FC22F40}" name="batch" dataDxfId="214"/>
    <tableColumn id="5" xr3:uid="{5971A731-2392-4483-A021-FADB3AB45424}" name="ed" dataDxfId="213"/>
    <tableColumn id="6" xr3:uid="{990E653D-B0F6-4981-9840-5BD6036AB375}" name="hargaSatuan" dataDxfId="212"/>
    <tableColumn id="7" xr3:uid="{B5D3AB6B-73CF-4867-A91B-478259250459}" name="sumberDana" dataDxfId="211"/>
    <tableColumn id="8" xr3:uid="{9EDA3B7A-53A0-4441-AED5-AC046D01E098}" name="qtySaldoAwalSem1" dataDxfId="210"/>
    <tableColumn id="9" xr3:uid="{A8608F13-89BD-4062-A6C4-80CD47F6410B}" name="nomSaldoAwalSem1" dataDxfId="209">
      <calculatedColumnFormula>tablet[[#This Row],[qtySaldoAwalSem1]]*tablet[[#This Row],[hargaSatuan]]</calculatedColumnFormula>
    </tableColumn>
    <tableColumn id="10" xr3:uid="{21F217DA-54B4-4C17-B200-99D3B191B469}" name="qtyTerima2025" dataDxfId="208"/>
    <tableColumn id="11" xr3:uid="{17CB7C44-E799-47D6-B7C7-883FBF2673D8}" name="nomTerima2025" dataDxfId="207">
      <calculatedColumnFormula>tablet[[#This Row],[qtyTerima2025]]*tablet[[#This Row],[hargaSatuan]]</calculatedColumnFormula>
    </tableColumn>
    <tableColumn id="12" xr3:uid="{18F6E84F-A985-42B8-9E07-053BCF105CB3}" name="qtyDist2025" dataDxfId="206"/>
    <tableColumn id="13" xr3:uid="{2C624491-924F-4564-8354-FCADA58D3E29}" name="nomDist2025" dataDxfId="205">
      <calculatedColumnFormula>tablet[[#This Row],[qtyDist2025]]*tablet[[#This Row],[hargaSatuan]]</calculatedColumnFormula>
    </tableColumn>
    <tableColumn id="14" xr3:uid="{C5DAA7F5-1F0B-4096-A24B-77A315112196}" name="qtyEd2025" dataDxfId="204"/>
    <tableColumn id="15" xr3:uid="{F0CB11D2-FC9B-45D0-A618-3E40883F54BB}" name="nomEd2025" dataDxfId="203">
      <calculatedColumnFormula>tablet[[#This Row],[qtyEd2025]]*tablet[[#This Row],[hargaSatuan]]</calculatedColumnFormula>
    </tableColumn>
    <tableColumn id="16" xr3:uid="{070EA5F4-F048-4D22-A91B-D3C68E78338C}" name="qtySaldoAkhir2025" dataDxfId="202"/>
    <tableColumn id="17" xr3:uid="{CCBB18C0-67FC-45B4-A00A-DC495EE88BEB}" name="nomSaldoAkhir2025" dataDxfId="201">
      <calculatedColumnFormula>tablet[[#This Row],[qtySaldoAkhir2025]]*tablet[[#This Row],[hargaSatuan]]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9DA51F-DDD8-4E01-876B-20CB2426907D}" name="Injeksi" displayName="Injeksi" ref="A293:Q368" totalsRowShown="0" headerRowDxfId="200" dataDxfId="199" headerRowBorderDxfId="197" tableBorderDxfId="198" totalsRowBorderDxfId="196">
  <autoFilter ref="A293:Q368" xr:uid="{9B75DEAF-68DF-46CB-B8A7-08DA24A18B7E}"/>
  <tableColumns count="17">
    <tableColumn id="1" xr3:uid="{78AA9964-82E2-4F26-B90E-98E1778A7DBC}" name="no" dataDxfId="195"/>
    <tableColumn id="2" xr3:uid="{1F68C125-1309-4CB2-9D3C-CC74AF30FBC7}" name="namaBarang" dataDxfId="194"/>
    <tableColumn id="3" xr3:uid="{88C09141-A20A-448E-BC80-B81D8AC3952B}" name="satuan" dataDxfId="193"/>
    <tableColumn id="4" xr3:uid="{63565A0B-7A20-4A6F-A38A-D643AA9D183F}" name="batch" dataDxfId="192"/>
    <tableColumn id="5" xr3:uid="{60F687F3-6861-44DD-AC2D-8B7CAFA78971}" name="ed" dataDxfId="191"/>
    <tableColumn id="6" xr3:uid="{E2E72DEC-D5D3-4948-BFDC-2F7A0415CEDB}" name="hargaSatuan" dataDxfId="190"/>
    <tableColumn id="7" xr3:uid="{C030A4E9-0344-47B2-8192-6C6BB200BC5D}" name="sumberDana" dataDxfId="189"/>
    <tableColumn id="8" xr3:uid="{BB252AC6-B36A-4E8B-8A01-1076A7185FE9}" name="qtySaldoAwalSem1" dataDxfId="188"/>
    <tableColumn id="9" xr3:uid="{A77C6315-0327-44DE-88ED-2DCF6DD9FE65}" name="nomSaldoAwalSem1" dataDxfId="187">
      <calculatedColumnFormula>Injeksi[[#This Row],[qtySaldoAwalSem1]]*Injeksi[[#This Row],[hargaSatuan]]</calculatedColumnFormula>
    </tableColumn>
    <tableColumn id="10" xr3:uid="{CB632209-9E1C-4AB7-928C-DFEC04F01072}" name="qtyTerima2025" dataDxfId="186"/>
    <tableColumn id="11" xr3:uid="{BC00DC88-3C91-4A2D-A5E8-37FA90AB648F}" name="nomTerima2025" dataDxfId="185">
      <calculatedColumnFormula>Injeksi[[#This Row],[qtyTerima2025]]*Injeksi[[#This Row],[hargaSatuan]]</calculatedColumnFormula>
    </tableColumn>
    <tableColumn id="12" xr3:uid="{26482208-7A25-467A-9F07-5CE1C5A359CD}" name="qtyDist2025" dataDxfId="184"/>
    <tableColumn id="13" xr3:uid="{6E78FAE6-4576-4FA4-844E-4047EA27D7DF}" name="nomDist2025" dataDxfId="183">
      <calculatedColumnFormula>Injeksi[[#This Row],[qtyDist2025]]*Injeksi[[#This Row],[hargaSatuan]]</calculatedColumnFormula>
    </tableColumn>
    <tableColumn id="14" xr3:uid="{B2D73A55-E156-42EF-AE52-CD35F294DAEB}" name="qtyEd2025" dataDxfId="182"/>
    <tableColumn id="15" xr3:uid="{6420414E-2BEA-4194-95ED-2FC7776C5946}" name="nomEd2025" dataDxfId="181">
      <calculatedColumnFormula>Injeksi[[#This Row],[qtyEd2025]]*Injeksi[[#This Row],[hargaSatuan]]</calculatedColumnFormula>
    </tableColumn>
    <tableColumn id="16" xr3:uid="{8C9DAAF5-0FE9-4CF1-ADE5-823D8575D204}" name="qtySaldoAkhir2025" dataDxfId="180"/>
    <tableColumn id="17" xr3:uid="{C42D94C3-A968-4C11-9082-2DEC40654509}" name="nomSaldoAkhir2025" dataDxfId="179">
      <calculatedColumnFormula>Injeksi[[#This Row],[qtySaldoAkhir2025]]*Injeksi[[#This Row],[hargaSatuan]]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000B659-45B0-4177-A5B6-B179721AD033}" name="Narkotika" displayName="Narkotika" ref="A370:Q384" totalsRowShown="0" headerRowDxfId="178" dataDxfId="177" headerRowBorderDxfId="175" tableBorderDxfId="176" totalsRowBorderDxfId="174">
  <autoFilter ref="A370:Q384" xr:uid="{1372D4CB-D715-43B1-B604-BB5535AAD06C}"/>
  <tableColumns count="17">
    <tableColumn id="1" xr3:uid="{BD5D8DAC-CC2A-4220-985D-47E32906FA6B}" name="no" dataDxfId="173"/>
    <tableColumn id="2" xr3:uid="{C42D146E-E54C-4700-B1BC-20888B0F8F99}" name="namaBarang" dataDxfId="172"/>
    <tableColumn id="3" xr3:uid="{39934698-1018-429A-8084-2A1D9A4A2910}" name="satuan" dataDxfId="171"/>
    <tableColumn id="4" xr3:uid="{199058EC-D8E6-4B1F-9095-ACFF1B4B470C}" name="batch" dataDxfId="170"/>
    <tableColumn id="5" xr3:uid="{C48BB9FA-FDFB-4B95-BAB1-7FB198DD44DA}" name="ed" dataDxfId="169"/>
    <tableColumn id="6" xr3:uid="{EA9FCDC3-1BA0-4C54-9879-FAB849DC7306}" name="hargaSatuan" dataDxfId="168"/>
    <tableColumn id="7" xr3:uid="{C44BD3F6-FE69-43C8-8FDC-AA26B9B89381}" name="sumberDana" dataDxfId="167"/>
    <tableColumn id="8" xr3:uid="{44EE68E9-F44A-48EB-8DFF-A5FE823EE202}" name="qtySaldoAwalSem1" dataDxfId="166"/>
    <tableColumn id="9" xr3:uid="{48366CC3-3D6D-4232-9115-DADBF55FA3E4}" name="nomSaldoAwalSem1" dataDxfId="165">
      <calculatedColumnFormula>Narkotika[[#This Row],[qtySaldoAwalSem1]]*Narkotika[[#This Row],[hargaSatuan]]</calculatedColumnFormula>
    </tableColumn>
    <tableColumn id="10" xr3:uid="{71AFF4BC-59F2-4FE7-B71F-9FD74EF495A8}" name="qtyTerima2025" dataDxfId="164"/>
    <tableColumn id="11" xr3:uid="{46A4D4AD-FD98-4333-BD8F-3AD4EAEE2D1D}" name="nomTerima2025" dataDxfId="163">
      <calculatedColumnFormula>Narkotika[[#This Row],[qtyTerima2025]]*Narkotika[[#This Row],[hargaSatuan]]</calculatedColumnFormula>
    </tableColumn>
    <tableColumn id="12" xr3:uid="{634183BA-BC17-406E-A2F0-51C19A46B0A2}" name="qtyDist2025" dataDxfId="162"/>
    <tableColumn id="13" xr3:uid="{00165322-92BC-4952-8778-7418593515A8}" name="nomDist2025" dataDxfId="161">
      <calculatedColumnFormula>Narkotika[[#This Row],[qtyDist2025]]*Narkotika[[#This Row],[hargaSatuan]]</calculatedColumnFormula>
    </tableColumn>
    <tableColumn id="14" xr3:uid="{8785B8A6-29FC-4B50-80F1-0436D0A34689}" name="qtyEd2025" dataDxfId="160"/>
    <tableColumn id="15" xr3:uid="{2D39CC09-BD93-4114-AD7B-D687017398A0}" name="nomEd2025" dataDxfId="159">
      <calculatedColumnFormula>Narkotika[[#This Row],[qtyEd2025]]*Narkotika[[#This Row],[hargaSatuan]]</calculatedColumnFormula>
    </tableColumn>
    <tableColumn id="16" xr3:uid="{072DE9EA-2FEF-465D-8F25-DC42A851C007}" name="qtySaldoAkhir2025" dataDxfId="158"/>
    <tableColumn id="17" xr3:uid="{00756FAF-215D-4609-9B80-A7C455B598FA}" name="nomSaldoAkhir2025" dataDxfId="157">
      <calculatedColumnFormula>Narkotika[[#This Row],[qtySaldoAkhir2025]]*Narkotika[[#This Row],[hargaSatuan]]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05B15A8-66F5-4BF0-B580-346C877162FE}" name="Salep" displayName="Salep" ref="A386:Q413" totalsRowShown="0" headerRowDxfId="156" dataDxfId="155" headerRowBorderDxfId="153" tableBorderDxfId="154" totalsRowBorderDxfId="152">
  <autoFilter ref="A386:Q413" xr:uid="{3AC7683C-04D3-4461-AFD8-1320C2622138}"/>
  <tableColumns count="17">
    <tableColumn id="1" xr3:uid="{B5E02E47-64C1-43F8-8D56-93F7A78B9540}" name="no" dataDxfId="151"/>
    <tableColumn id="2" xr3:uid="{6C88B9BA-8AB9-4882-908A-B305C3B1A112}" name="namaBarang" dataDxfId="150"/>
    <tableColumn id="3" xr3:uid="{C2D5047D-8255-4AD9-8DB3-CD18531E43FF}" name="satuan" dataDxfId="149"/>
    <tableColumn id="4" xr3:uid="{3C83D396-CFEA-483E-94F9-B64C4E817565}" name="batch" dataDxfId="148"/>
    <tableColumn id="5" xr3:uid="{0AE6EECB-2718-40EA-9168-F3427EFAF4E4}" name="ed" dataDxfId="147"/>
    <tableColumn id="6" xr3:uid="{514DAF73-0FE6-4671-A146-F9B3B9360E1B}" name="hargaSatuan" dataDxfId="146"/>
    <tableColumn id="7" xr3:uid="{E0583EB0-D8A3-469F-8F25-040E9E4BCF56}" name="sumberDana" dataDxfId="145"/>
    <tableColumn id="8" xr3:uid="{E6372546-36A3-4DF9-BC3F-CEF945D96AB5}" name="qtySaldoAwalSem1" dataDxfId="144"/>
    <tableColumn id="9" xr3:uid="{0000634C-1D38-449C-BF9E-C750D489C751}" name="nomSaldoAwalSem1" dataDxfId="143">
      <calculatedColumnFormula>Salep[[#This Row],[qtySaldoAwalSem1]]*Salep[[#This Row],[hargaSatuan]]</calculatedColumnFormula>
    </tableColumn>
    <tableColumn id="10" xr3:uid="{6C6E48E7-F802-45D4-B1D5-7D5D3718FAFA}" name="qtyTerima2025" dataDxfId="142"/>
    <tableColumn id="11" xr3:uid="{5CE77BFE-822C-428F-A7F3-A3C3572E9BAF}" name="nomTerima2025" dataDxfId="141">
      <calculatedColumnFormula>Salep[[#This Row],[qtyTerima2025]]*Salep[[#This Row],[hargaSatuan]]</calculatedColumnFormula>
    </tableColumn>
    <tableColumn id="12" xr3:uid="{FEAB8DB0-3F0E-418A-8EDF-4C00403D4DF1}" name="qtyDist2025" dataDxfId="140"/>
    <tableColumn id="13" xr3:uid="{4B7C045F-700B-4037-9FD8-070874926B98}" name="nomDist2025" dataDxfId="139">
      <calculatedColumnFormula>Salep[[#This Row],[qtyDist2025]]*Salep[[#This Row],[hargaSatuan]]</calculatedColumnFormula>
    </tableColumn>
    <tableColumn id="14" xr3:uid="{ED10CD70-8013-401D-B34B-4D141268D9FA}" name="qtyEd2025" dataDxfId="138"/>
    <tableColumn id="15" xr3:uid="{BE11C71B-18FD-4AC5-ADEA-AE4CF83BBE7A}" name="nomEd2025" dataDxfId="137">
      <calculatedColumnFormula>Salep[[#This Row],[qtyEd2025]]*Salep[[#This Row],[hargaSatuan]]</calculatedColumnFormula>
    </tableColumn>
    <tableColumn id="16" xr3:uid="{BB4A6097-A5EA-4C67-B776-7421D91CEA1E}" name="qtySaldoAkhir2025" dataDxfId="136"/>
    <tableColumn id="17" xr3:uid="{C446B879-F329-4BFD-A866-597A9079EAE2}" name="nomSaldoAkhir2025" dataDxfId="135">
      <calculatedColumnFormula>Salep[[#This Row],[qtySaldoAkhir2025]]*Salep[[#This Row],[hargaSatuan]]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AE63CCE-994B-4B8C-93EB-368DB9216E45}" name="Sirup" displayName="Sirup" ref="A415:Q464" totalsRowShown="0" headerRowDxfId="134" dataDxfId="133" headerRowBorderDxfId="131" tableBorderDxfId="132" totalsRowBorderDxfId="130">
  <autoFilter ref="A415:Q464" xr:uid="{970420DD-FA3B-4C28-9BBE-A215FE944F6A}"/>
  <tableColumns count="17">
    <tableColumn id="1" xr3:uid="{9D4708C2-ECCF-4306-926E-00A3364F6225}" name="no" dataDxfId="129"/>
    <tableColumn id="2" xr3:uid="{C72CAF0F-25E5-4756-B975-7059C34BF852}" name="namaBarang" dataDxfId="128"/>
    <tableColumn id="3" xr3:uid="{D583B943-F404-4F7A-AD18-DEC3449A3D3D}" name="satuan" dataDxfId="127"/>
    <tableColumn id="4" xr3:uid="{8E45860F-D9D3-4885-831C-6EF31A946DC4}" name="batch" dataDxfId="126"/>
    <tableColumn id="5" xr3:uid="{7A3DE0C8-8231-47DD-BCAE-2A3115FCEA19}" name="ed" dataDxfId="125"/>
    <tableColumn id="6" xr3:uid="{1A6495B2-8CC2-440D-B6A1-FF61C12B8C30}" name="hargaSatuan" dataDxfId="124"/>
    <tableColumn id="7" xr3:uid="{7AFFF8CC-8DF1-4CA0-A27A-E3868E2E5FF1}" name="sumberDana" dataDxfId="123"/>
    <tableColumn id="8" xr3:uid="{93490783-BE42-48B8-AD9C-A304A33100AD}" name="qtySaldoAwalSem1" dataDxfId="122"/>
    <tableColumn id="9" xr3:uid="{BE326EDA-EA42-4AEC-8BA3-341C528D7116}" name="nomSaldoAwalSem1" dataDxfId="121">
      <calculatedColumnFormula>Sirup[[#This Row],[qtySaldoAwalSem1]]*Sirup[[#This Row],[hargaSatuan]]</calculatedColumnFormula>
    </tableColumn>
    <tableColumn id="10" xr3:uid="{A6ACD780-6221-4C3D-9D19-E2388A3F7865}" name="qtyTerima2025" dataDxfId="120"/>
    <tableColumn id="11" xr3:uid="{F93287CB-3944-4927-A8A2-8A77230A8A1B}" name="nomTerima2025" dataDxfId="119">
      <calculatedColumnFormula>Sirup[[#This Row],[qtyTerima2025]]*Sirup[[#This Row],[hargaSatuan]]</calculatedColumnFormula>
    </tableColumn>
    <tableColumn id="12" xr3:uid="{323FADEE-6BCE-4FB5-9F65-BBBD0788532D}" name="qtyDist2025" dataDxfId="118"/>
    <tableColumn id="13" xr3:uid="{BC87DC57-34DC-43D1-8C6C-B3CEDE878B04}" name="nomDist2025" dataDxfId="117">
      <calculatedColumnFormula>Sirup[[#This Row],[qtyDist2025]]*Sirup[[#This Row],[hargaSatuan]]</calculatedColumnFormula>
    </tableColumn>
    <tableColumn id="14" xr3:uid="{A6DA42AB-3CB1-443F-8755-0B1F8ACA15F9}" name="qtyEd2025" dataDxfId="116"/>
    <tableColumn id="15" xr3:uid="{7417ED24-8EAD-4108-9CC2-10E773B33042}" name="nomEd2025" dataDxfId="115">
      <calculatedColumnFormula>Sirup[[#This Row],[qtyEd2025]]*Sirup[[#This Row],[hargaSatuan]]</calculatedColumnFormula>
    </tableColumn>
    <tableColumn id="16" xr3:uid="{447C33C3-ED60-411D-A745-0FC0F8B98240}" name="qtySaldoAkhir2025" dataDxfId="114"/>
    <tableColumn id="17" xr3:uid="{7F162774-7B15-4B13-976B-0537C0DF109F}" name="nomSaldoAkhir2025" dataDxfId="113">
      <calculatedColumnFormula>Sirup[[#This Row],[qtySaldoAkhir2025]]*Sirup[[#This Row],[hargaSatuan]]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22BF3E4-4BE4-44E1-BA0E-C144AFAA8694}" name="Larutan" displayName="Larutan" ref="A466:Q500" totalsRowShown="0" headerRowDxfId="112" dataDxfId="111" headerRowBorderDxfId="109" tableBorderDxfId="110" totalsRowBorderDxfId="108">
  <autoFilter ref="A466:Q500" xr:uid="{2866CE5C-1CAA-4591-A8F6-20EE259068B7}"/>
  <tableColumns count="17">
    <tableColumn id="1" xr3:uid="{84B6C46E-F829-45F9-BA48-ED3460FF6D5D}" name="no" dataDxfId="107"/>
    <tableColumn id="2" xr3:uid="{ADD9A7B5-41CF-465D-8733-94840FCDE58F}" name="namaBarang" dataDxfId="106"/>
    <tableColumn id="3" xr3:uid="{D853C229-5928-4127-8F65-F67DA13BA28A}" name="satuan" dataDxfId="105"/>
    <tableColumn id="4" xr3:uid="{F4FFFB7B-2BF1-41D1-8E91-F2CB40D7E6C7}" name="batch" dataDxfId="104"/>
    <tableColumn id="5" xr3:uid="{D65A057B-2D93-46E8-85F2-F8620D582406}" name="ed" dataDxfId="103"/>
    <tableColumn id="6" xr3:uid="{29175BED-8461-45C2-9664-EB578B7D7868}" name="hargaSatuan" dataDxfId="102"/>
    <tableColumn id="7" xr3:uid="{8A3FA386-542A-4C0A-A972-C7E340E0DD97}" name="sumberDana" dataDxfId="101"/>
    <tableColumn id="8" xr3:uid="{C21C42D4-6EBA-44B9-B5F1-CA6CB355AE6C}" name="qtySaldoAwalSem1" dataDxfId="100"/>
    <tableColumn id="9" xr3:uid="{54D7116A-41A3-42C9-BF6D-9CE4794A8236}" name="nomSaldoAwalSem1" dataDxfId="99">
      <calculatedColumnFormula>Larutan[[#This Row],[qtySaldoAwalSem1]]*Larutan[[#This Row],[hargaSatuan]]</calculatedColumnFormula>
    </tableColumn>
    <tableColumn id="10" xr3:uid="{DF925B19-4E4A-42C9-8168-508DB8FE2CF7}" name="qtyTerima2025" dataDxfId="98"/>
    <tableColumn id="11" xr3:uid="{3EEF2007-7F8D-4B9B-AC0A-9D4999F51D25}" name="nomTerima2025" dataDxfId="97">
      <calculatedColumnFormula>Larutan[[#This Row],[qtyTerima2025]]*Larutan[[#This Row],[hargaSatuan]]</calculatedColumnFormula>
    </tableColumn>
    <tableColumn id="12" xr3:uid="{953A5A9D-C631-4A27-BC1A-3A204A8AA1B7}" name="qtyDist2025" dataDxfId="96"/>
    <tableColumn id="13" xr3:uid="{F1040C99-6840-4C2E-B088-B077640B2B02}" name="nomDist2025" dataDxfId="95">
      <calculatedColumnFormula>Larutan[[#This Row],[qtyDist2025]]*Larutan[[#This Row],[hargaSatuan]]</calculatedColumnFormula>
    </tableColumn>
    <tableColumn id="14" xr3:uid="{510CD6E3-718B-43BC-A70E-E3B87AA8436B}" name="qtyEd2025" dataDxfId="94"/>
    <tableColumn id="15" xr3:uid="{CA3EEA60-0972-401A-A14D-8898138280F8}" name="nomEd2025" dataDxfId="93">
      <calculatedColumnFormula>Larutan[[#This Row],[qtyEd2025]]*Larutan[[#This Row],[hargaSatuan]]</calculatedColumnFormula>
    </tableColumn>
    <tableColumn id="16" xr3:uid="{F99A8785-9761-4253-B657-B0432DCDE27B}" name="qtySaldoAkhir2025" dataDxfId="92"/>
    <tableColumn id="17" xr3:uid="{781C9C78-9AD8-418F-A96F-B3511EF9114A}" name="nomSaldoAkhir2025" dataDxfId="91">
      <calculatedColumnFormula>Larutan[[#This Row],[qtySaldoAkhir2025]]*Larutan[[#This Row],[hargaSatuan]]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0F5CFBB-855C-4A20-A618-4AD2882562A2}" name="Vaksin" displayName="Vaksin" ref="A502:Q594" totalsRowShown="0" headerRowDxfId="90" dataDxfId="89" headerRowBorderDxfId="87" tableBorderDxfId="88" totalsRowBorderDxfId="86">
  <autoFilter ref="A502:Q594" xr:uid="{3F6930C4-7E68-4EBE-8AD3-0FE6555F5B21}"/>
  <tableColumns count="17">
    <tableColumn id="1" xr3:uid="{F5A102FF-A727-4CA6-AF2D-0815C7234D4B}" name="no" dataDxfId="85"/>
    <tableColumn id="2" xr3:uid="{0287413F-6CC6-44F4-8EFF-2F372F79F084}" name="namaBarang" dataDxfId="84"/>
    <tableColumn id="3" xr3:uid="{DEE0D749-E4BF-4A35-A897-67C07E041E2F}" name="satuan" dataDxfId="83"/>
    <tableColumn id="4" xr3:uid="{40610AD7-7821-4A25-AD57-A1DC779117CC}" name="batch" dataDxfId="82"/>
    <tableColumn id="5" xr3:uid="{1D6D37E1-18B4-47CA-9788-108DEFD9D193}" name="ed" dataDxfId="81"/>
    <tableColumn id="6" xr3:uid="{24E543E9-3B91-472C-B201-B9560E88A327}" name="hargaSatuan" dataDxfId="80"/>
    <tableColumn id="7" xr3:uid="{F0077D97-FBC9-4006-A5F2-3A6E7F9B29F5}" name="sumberDana" dataDxfId="79"/>
    <tableColumn id="8" xr3:uid="{DB049962-D26D-451B-BC95-7BA5A9D53CC6}" name="qtySaldoAwalSem1" dataDxfId="78"/>
    <tableColumn id="9" xr3:uid="{53AC3957-2F2C-47EE-B684-39B57ED04549}" name="nomSaldoAwalSem1" dataDxfId="77">
      <calculatedColumnFormula>Vaksin[[#This Row],[qtySaldoAwalSem1]]*Vaksin[[#This Row],[hargaSatuan]]</calculatedColumnFormula>
    </tableColumn>
    <tableColumn id="10" xr3:uid="{584AC024-BA95-48EC-9D6F-8C22441187DB}" name="qtyTerima2025" dataDxfId="76"/>
    <tableColumn id="11" xr3:uid="{6BD4DD72-EF97-42CB-9C43-29B8ED89A682}" name="nomTerima2025" dataDxfId="75">
      <calculatedColumnFormula>Vaksin[[#This Row],[qtyTerima2025]]*Vaksin[[#This Row],[hargaSatuan]]</calculatedColumnFormula>
    </tableColumn>
    <tableColumn id="12" xr3:uid="{E71EFBFD-778A-4BDC-A36B-27B6F025A8AC}" name="qtyDist2025" dataDxfId="74"/>
    <tableColumn id="13" xr3:uid="{6E0BAD5F-96EF-4500-9555-7176CE7EE379}" name="nomDist2025" dataDxfId="73">
      <calculatedColumnFormula>Vaksin[[#This Row],[qtyDist2025]]*Vaksin[[#This Row],[hargaSatuan]]</calculatedColumnFormula>
    </tableColumn>
    <tableColumn id="14" xr3:uid="{33401569-6723-42C1-99B5-6B87FB9F26EB}" name="qtyEd2025" dataDxfId="72"/>
    <tableColumn id="15" xr3:uid="{0A54A27A-4396-4495-904E-02149BFA1DCD}" name="nomEd2025" dataDxfId="71">
      <calculatedColumnFormula>Vaksin[[#This Row],[qtyEd2025]]*Vaksin[[#This Row],[hargaSatuan]]</calculatedColumnFormula>
    </tableColumn>
    <tableColumn id="16" xr3:uid="{CF676564-641C-4BBC-A609-030E8CCA0381}" name="qtySaldoAkhir2025" dataDxfId="70"/>
    <tableColumn id="17" xr3:uid="{7F05C3D6-90EC-47BD-86B7-F5FD8379F6C9}" name="nomSaldoAkhir2025" dataDxfId="69">
      <calculatedColumnFormula>Vaksin[[#This Row],[qtySaldoAkhir2025]]*Vaksin[[#This Row],[hargaSatuan]]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A70E6EB-D949-4493-AD00-2170DB2C02DF}" name="BHP" displayName="BHP" ref="A596:Q815" totalsRowShown="0" headerRowDxfId="68" dataDxfId="67" headerRowBorderDxfId="65" tableBorderDxfId="66" totalsRowBorderDxfId="64">
  <autoFilter ref="A596:Q815" xr:uid="{6BECBD4C-10D8-4DC7-9310-AE97D685AD90}"/>
  <tableColumns count="17">
    <tableColumn id="1" xr3:uid="{F1CEE4EA-A38D-4618-9D0D-26F3DDC72763}" name="no" dataDxfId="63"/>
    <tableColumn id="2" xr3:uid="{3472B0B6-6C44-47E9-AD4E-7162BBE624F0}" name="namaBarang" dataDxfId="62"/>
    <tableColumn id="3" xr3:uid="{6D9863D7-FED1-46C4-A618-D6B35708BBBC}" name="satuan" dataDxfId="61"/>
    <tableColumn id="4" xr3:uid="{B7679BAF-46D4-4083-900A-75AE26732900}" name="batch" dataDxfId="60"/>
    <tableColumn id="5" xr3:uid="{1883F42E-9BF7-48F7-AA8F-5B2D308EDCCC}" name="ed" dataDxfId="59"/>
    <tableColumn id="6" xr3:uid="{4EA45BBC-86D6-4035-86A2-837967EBD2BF}" name="hargaSatuan" dataDxfId="58"/>
    <tableColumn id="7" xr3:uid="{43E328F9-9997-42A6-B421-2F5F1814D6D7}" name="sumberDana" dataDxfId="57"/>
    <tableColumn id="8" xr3:uid="{736A7884-BB08-4994-865E-2CBEFFE3D152}" name="qtySaldoAwalSem1" dataDxfId="56"/>
    <tableColumn id="9" xr3:uid="{45EF3C20-FF93-447D-A9C6-6E6C2579246C}" name="nomSaldoAwalSem1" dataDxfId="55">
      <calculatedColumnFormula>BHP[[#This Row],[qtySaldoAwalSem1]]*BHP[[#This Row],[hargaSatuan]]</calculatedColumnFormula>
    </tableColumn>
    <tableColumn id="10" xr3:uid="{5DE784F2-6AFF-49C8-A609-E350BE152C16}" name="qtyTerima2025" dataDxfId="54"/>
    <tableColumn id="11" xr3:uid="{FA2B4DD9-37DA-43E7-9693-E6F4172FA073}" name="nomTerima2025" dataDxfId="53">
      <calculatedColumnFormula>BHP[[#This Row],[qtyTerima2025]]*BHP[[#This Row],[hargaSatuan]]</calculatedColumnFormula>
    </tableColumn>
    <tableColumn id="12" xr3:uid="{514CA14F-B5DB-46B1-8F96-0DF9D665646C}" name="qtyDist2025" dataDxfId="52"/>
    <tableColumn id="13" xr3:uid="{E5F13419-B373-434B-A455-4825C97CCCA7}" name="nomDist2025" dataDxfId="51">
      <calculatedColumnFormula>BHP[[#This Row],[qtyDist2025]]*BHP[[#This Row],[hargaSatuan]]</calculatedColumnFormula>
    </tableColumn>
    <tableColumn id="14" xr3:uid="{839D6FF6-EEEF-4570-86B4-B5A3A37F2C43}" name="qtyEd2025" dataDxfId="50"/>
    <tableColumn id="15" xr3:uid="{C76314D1-D0FD-40BD-B0C1-6C7F39899EFF}" name="nomEd2025" dataDxfId="49"/>
    <tableColumn id="16" xr3:uid="{06685A43-E08A-45CD-9FEF-991A8215DA7F}" name="qtySaldoAkhir2025" dataDxfId="48">
      <calculatedColumnFormula>BHP[[#This Row],[qtySaldoAwalSem1]]+BHP[[#This Row],[qtyTerima2025]]-(BHP[[#This Row],[qtyDist2025]]+BHP[[#This Row],[qtyEd2025]])</calculatedColumnFormula>
    </tableColumn>
    <tableColumn id="17" xr3:uid="{7CD2EE01-39D8-44F1-A4CB-6D6CE30B3EC4}" name="nomSaldoAkhir2025" dataDxfId="47">
      <calculatedColumnFormula>BHP[[#This Row],[qtySaldoAkhir2025]]*BHP[[#This Row],[hargaSatuan]]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30D4468-25E4-4B5F-8FA9-789F444A2F4C}" name="Lab" displayName="Lab" ref="A817:Q962" totalsRowShown="0" headerRowDxfId="46" dataDxfId="45" headerRowBorderDxfId="43" tableBorderDxfId="44" totalsRowBorderDxfId="42">
  <autoFilter ref="A817:Q962" xr:uid="{958A9D8A-95CF-43F5-BEFA-268E09D17B7F}"/>
  <tableColumns count="17">
    <tableColumn id="1" xr3:uid="{10D0084C-D55B-44E4-9283-4B0415CD6D4D}" name="no" dataDxfId="41"/>
    <tableColumn id="2" xr3:uid="{84717EF7-01D8-4CED-8C57-AEC8F13FB544}" name="namaBarang" dataDxfId="40"/>
    <tableColumn id="3" xr3:uid="{A0688ACC-2451-4AA3-9E6B-95F29C3BB567}" name="satuan" dataDxfId="39"/>
    <tableColumn id="4" xr3:uid="{6B055F50-DF0D-423D-8DC4-B35692AE6EE6}" name="batch" dataDxfId="38"/>
    <tableColumn id="5" xr3:uid="{76A39DB5-C16E-4D8E-81EC-5BC548EB5ABA}" name="ed" dataDxfId="37"/>
    <tableColumn id="6" xr3:uid="{48C41C88-6303-45AA-9295-01BC6D2CE6FD}" name="hargaSatuan" dataDxfId="36"/>
    <tableColumn id="7" xr3:uid="{837D0559-AF6B-4565-893D-1F7B994C0539}" name="sumberDana" dataDxfId="35"/>
    <tableColumn id="8" xr3:uid="{A993E931-6FD4-4C8B-8D68-8E64B7D6F981}" name="qtySaldoAwalSem1" dataDxfId="34"/>
    <tableColumn id="9" xr3:uid="{45F8210A-1DE5-4A99-B1F1-8BFBE856F6D1}" name="nomSaldoAwalSem1" dataDxfId="33">
      <calculatedColumnFormula>Lab[[#This Row],[qtySaldoAwalSem1]]*Lab[[#This Row],[hargaSatuan]]</calculatedColumnFormula>
    </tableColumn>
    <tableColumn id="10" xr3:uid="{C6C957FB-5CEB-43D1-9FAA-41CA68A9B2EE}" name="qtyTerima2025" dataDxfId="32"/>
    <tableColumn id="11" xr3:uid="{65F8CC76-F07F-4122-93F9-59E1A5E27FB7}" name="nomTerima2025" dataDxfId="31">
      <calculatedColumnFormula>Lab[[#This Row],[qtyTerima2025]]*Lab[[#This Row],[hargaSatuan]]</calculatedColumnFormula>
    </tableColumn>
    <tableColumn id="12" xr3:uid="{9BE2E601-1025-4AA4-A965-3DC696DC9C60}" name="qtyDist2025" dataDxfId="30"/>
    <tableColumn id="13" xr3:uid="{676E354A-6108-4759-92B2-1DA1E4477294}" name="nomDist2025" dataDxfId="29">
      <calculatedColumnFormula>Lab[[#This Row],[qtyDist2025]]*Lab[[#This Row],[hargaSatuan]]</calculatedColumnFormula>
    </tableColumn>
    <tableColumn id="14" xr3:uid="{701F63D4-29FE-41EA-916F-3953B5E8F190}" name="qtyEd2025" dataDxfId="28"/>
    <tableColumn id="15" xr3:uid="{BD3EF585-CE70-4762-B6DF-29C091668AF2}" name="nomEd2025" dataDxfId="27">
      <calculatedColumnFormula>Lab[[#This Row],[qtyEd2025]]*Lab[[#This Row],[hargaSatuan]]</calculatedColumnFormula>
    </tableColumn>
    <tableColumn id="16" xr3:uid="{8394ECE3-BFAA-4D07-8654-8F99A7B9E6F0}" name="qtySaldoAkhir2025" dataDxfId="26">
      <calculatedColumnFormula>Lab[[#This Row],[qtySaldoAwalSem1]]+Lab[[#This Row],[qtyTerima2025]]-(Lab[[#This Row],[qtyDist2025]]+Lab[[#This Row],[qtyEd2025]])</calculatedColumnFormula>
    </tableColumn>
    <tableColumn id="17" xr3:uid="{74330C97-E00E-445D-88A5-378E5D0D72A4}" name="nomSaldoAkhir2025" dataDxfId="25">
      <calculatedColumnFormula>Lab[[#This Row],[qtySaldoAkhir2025]]*Lab[[#This Row],[hargaSatuan]]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66DC1CF-CC5B-4245-877F-209BCBF6C2E3}" name="Gigi" displayName="Gigi" ref="A964:Q1008" totalsRowShown="0" headerRowDxfId="24" dataDxfId="23" headerRowBorderDxfId="21" tableBorderDxfId="22" totalsRowBorderDxfId="20">
  <autoFilter ref="A964:Q1008" xr:uid="{487C68F7-4C18-4C3B-9177-09AFF121712D}"/>
  <tableColumns count="17">
    <tableColumn id="1" xr3:uid="{951574E8-A4E1-4163-B509-E81A041FC32C}" name="no" dataDxfId="19"/>
    <tableColumn id="2" xr3:uid="{7437D5FB-6906-4374-8F29-DAA83EADB290}" name="namaBarang" dataDxfId="18"/>
    <tableColumn id="3" xr3:uid="{74D8DBD9-8877-4D33-BCAF-6D3F80B253E3}" name="satuan" dataDxfId="17"/>
    <tableColumn id="4" xr3:uid="{8D1A54C2-ED25-4A11-A101-573CA8095BBC}" name="batch" dataDxfId="16"/>
    <tableColumn id="5" xr3:uid="{838CEA9E-3018-4D97-985E-DC813A6196E5}" name="ed" dataDxfId="15"/>
    <tableColumn id="6" xr3:uid="{171E9F2D-0485-4D13-BBBA-DF0A276ABAF7}" name="hargaSatuan" dataDxfId="14"/>
    <tableColumn id="7" xr3:uid="{B82A5AE8-B5A2-46FA-9280-E92C22EE97B3}" name="sumberDana" dataDxfId="13"/>
    <tableColumn id="8" xr3:uid="{17A3F283-B453-44BB-AB01-A72B38853BE6}" name="qtySaldoAwalSem1" dataDxfId="12"/>
    <tableColumn id="9" xr3:uid="{CC0A3248-66B5-4B17-BB23-C43EAE141D19}" name="nomSaldoAwalSem1" dataDxfId="11"/>
    <tableColumn id="10" xr3:uid="{AFE6450D-630A-424B-BDF6-8123AB4BE8EA}" name="qtyTerima2025" dataDxfId="10"/>
    <tableColumn id="11" xr3:uid="{17382DC1-5F46-4A72-BFC2-D2840386F149}" name="nomTerima2025" dataDxfId="9"/>
    <tableColumn id="12" xr3:uid="{006EBACB-22E9-486E-AB0C-475C07E0FF06}" name="qtyDist2025" dataDxfId="8"/>
    <tableColumn id="13" xr3:uid="{8BB7278A-4D7D-45BA-9D89-1B6D37E8D540}" name="nomDist2025" dataDxfId="7"/>
    <tableColumn id="14" xr3:uid="{ABB5A1F6-C7E2-4C13-BBEF-D9484212790C}" name="qtyEd2025" dataDxfId="6"/>
    <tableColumn id="15" xr3:uid="{E7BAB3CD-0F78-44C0-8643-25AD0C93307C}" name="nomEd2025" dataDxfId="5"/>
    <tableColumn id="16" xr3:uid="{E7A7D763-944B-4B15-A52B-B6413CFDD87E}" name="qtySaldoAkhir2025" dataDxfId="4"/>
    <tableColumn id="17" xr3:uid="{3FB8CC66-6387-483F-8E01-CC632D982A16}" name="nomSaldoAkhir2025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13" Type="http://schemas.openxmlformats.org/officeDocument/2006/relationships/comments" Target="../comments1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12" Type="http://schemas.openxmlformats.org/officeDocument/2006/relationships/table" Target="../tables/table10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11" Type="http://schemas.openxmlformats.org/officeDocument/2006/relationships/table" Target="../tables/table9.xml"/><Relationship Id="rId5" Type="http://schemas.openxmlformats.org/officeDocument/2006/relationships/table" Target="../tables/table3.xml"/><Relationship Id="rId10" Type="http://schemas.openxmlformats.org/officeDocument/2006/relationships/table" Target="../tables/table8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069A7-C1A5-4099-9970-E64370B4E27E}">
  <sheetPr>
    <outlinePr summaryBelow="0" summaryRight="0"/>
  </sheetPr>
  <dimension ref="A1:BG1008"/>
  <sheetViews>
    <sheetView zoomScale="70" zoomScaleNormal="70" workbookViewId="0">
      <pane ySplit="6" topLeftCell="A953" activePane="bottomLeft" state="frozen"/>
      <selection pane="bottomLeft" activeCell="B963" activeCellId="9" sqref="B7 B292 B369 B385 B414 B465 B501 B595 B816 B963"/>
    </sheetView>
  </sheetViews>
  <sheetFormatPr defaultColWidth="12.6640625" defaultRowHeight="15" customHeight="1" x14ac:dyDescent="0.3"/>
  <cols>
    <col min="1" max="1" width="5.6640625" style="3" customWidth="1"/>
    <col min="2" max="2" width="34.21875" style="3" customWidth="1"/>
    <col min="3" max="3" width="9.21875" style="3" customWidth="1"/>
    <col min="4" max="4" width="15.44140625" style="3" customWidth="1"/>
    <col min="5" max="5" width="7.77734375" style="3" customWidth="1"/>
    <col min="6" max="6" width="14.21875" style="3" customWidth="1"/>
    <col min="7" max="7" width="14.44140625" style="3" customWidth="1"/>
    <col min="8" max="8" width="21" style="3" bestFit="1" customWidth="1"/>
    <col min="9" max="9" width="21.21875" style="3" customWidth="1"/>
    <col min="10" max="10" width="16.44140625" style="3" customWidth="1"/>
    <col min="11" max="11" width="17.33203125" style="3" customWidth="1"/>
    <col min="12" max="12" width="16.44140625" style="3" customWidth="1"/>
    <col min="13" max="13" width="17.6640625" style="3" bestFit="1" customWidth="1"/>
    <col min="14" max="14" width="16.44140625" style="3" customWidth="1"/>
    <col min="15" max="15" width="16.109375" style="3" bestFit="1" customWidth="1"/>
    <col min="16" max="16" width="19.6640625" style="3" customWidth="1"/>
    <col min="17" max="17" width="21.44140625" style="3" customWidth="1"/>
    <col min="18" max="18" width="12.6640625" style="3"/>
    <col min="19" max="19" width="16.88671875" style="3" bestFit="1" customWidth="1"/>
    <col min="20" max="20" width="15.44140625" style="3" bestFit="1" customWidth="1"/>
    <col min="21" max="21" width="16.88671875" style="3" bestFit="1" customWidth="1"/>
    <col min="22" max="22" width="0" style="3" hidden="1" customWidth="1"/>
    <col min="23" max="23" width="22.44140625" style="3" bestFit="1" customWidth="1"/>
    <col min="24" max="16384" width="12.6640625" style="3"/>
  </cols>
  <sheetData>
    <row r="1" spans="1:23" ht="22.8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23" ht="14.4" x14ac:dyDescent="0.3">
      <c r="A2" s="4" t="s">
        <v>1</v>
      </c>
      <c r="B2" s="5" t="s">
        <v>2</v>
      </c>
      <c r="C2" s="4" t="s">
        <v>3</v>
      </c>
      <c r="D2" s="6" t="s">
        <v>4</v>
      </c>
      <c r="E2" s="7" t="s">
        <v>5</v>
      </c>
      <c r="F2" s="8" t="s">
        <v>6</v>
      </c>
      <c r="G2" s="9" t="s">
        <v>7</v>
      </c>
      <c r="H2" s="10" t="s">
        <v>8</v>
      </c>
      <c r="I2" s="11"/>
      <c r="J2" s="12" t="s">
        <v>9</v>
      </c>
      <c r="K2" s="13"/>
      <c r="L2" s="13"/>
      <c r="M2" s="13"/>
      <c r="N2" s="13"/>
      <c r="O2" s="11"/>
      <c r="P2" s="10" t="s">
        <v>10</v>
      </c>
      <c r="Q2" s="11"/>
    </row>
    <row r="3" spans="1:23" ht="14.4" x14ac:dyDescent="0.3">
      <c r="A3" s="14"/>
      <c r="B3" s="14"/>
      <c r="C3" s="14"/>
      <c r="D3" s="14"/>
      <c r="E3" s="14"/>
      <c r="F3" s="14"/>
      <c r="G3" s="14"/>
      <c r="H3" s="15"/>
      <c r="I3" s="16"/>
      <c r="J3" s="17"/>
      <c r="K3" s="18"/>
      <c r="L3" s="18"/>
      <c r="M3" s="18"/>
      <c r="N3" s="18"/>
      <c r="O3" s="19"/>
      <c r="P3" s="15"/>
      <c r="Q3" s="16"/>
    </row>
    <row r="4" spans="1:23" ht="14.4" x14ac:dyDescent="0.3">
      <c r="A4" s="14"/>
      <c r="B4" s="14"/>
      <c r="C4" s="14"/>
      <c r="D4" s="14"/>
      <c r="E4" s="14"/>
      <c r="F4" s="14"/>
      <c r="G4" s="14"/>
      <c r="H4" s="15"/>
      <c r="I4" s="16"/>
      <c r="J4" s="20" t="s">
        <v>11</v>
      </c>
      <c r="K4" s="11"/>
      <c r="L4" s="20" t="s">
        <v>12</v>
      </c>
      <c r="M4" s="11"/>
      <c r="N4" s="20" t="s">
        <v>13</v>
      </c>
      <c r="O4" s="11"/>
      <c r="P4" s="15"/>
      <c r="Q4" s="16"/>
    </row>
    <row r="5" spans="1:23" ht="14.4" x14ac:dyDescent="0.3">
      <c r="A5" s="14"/>
      <c r="B5" s="14"/>
      <c r="C5" s="14"/>
      <c r="D5" s="14"/>
      <c r="E5" s="14"/>
      <c r="F5" s="14"/>
      <c r="G5" s="14"/>
      <c r="H5" s="17"/>
      <c r="I5" s="19"/>
      <c r="J5" s="17"/>
      <c r="K5" s="19"/>
      <c r="L5" s="17"/>
      <c r="M5" s="19"/>
      <c r="N5" s="17"/>
      <c r="O5" s="19"/>
      <c r="P5" s="17"/>
      <c r="Q5" s="19"/>
    </row>
    <row r="6" spans="1:23" ht="14.4" x14ac:dyDescent="0.3">
      <c r="A6" s="14"/>
      <c r="B6" s="14"/>
      <c r="C6" s="14"/>
      <c r="D6" s="14"/>
      <c r="E6" s="14"/>
      <c r="F6" s="14"/>
      <c r="G6" s="14"/>
      <c r="H6" s="21" t="s">
        <v>14</v>
      </c>
      <c r="I6" s="22" t="s">
        <v>15</v>
      </c>
      <c r="J6" s="23" t="s">
        <v>14</v>
      </c>
      <c r="K6" s="24" t="s">
        <v>15</v>
      </c>
      <c r="L6" s="23" t="s">
        <v>14</v>
      </c>
      <c r="M6" s="24" t="s">
        <v>15</v>
      </c>
      <c r="N6" s="23" t="s">
        <v>14</v>
      </c>
      <c r="O6" s="24" t="s">
        <v>15</v>
      </c>
      <c r="P6" s="25" t="s">
        <v>14</v>
      </c>
      <c r="Q6" s="25" t="s">
        <v>15</v>
      </c>
    </row>
    <row r="7" spans="1:23" ht="14.4" x14ac:dyDescent="0.3">
      <c r="A7" s="26"/>
      <c r="B7" s="27" t="s">
        <v>16</v>
      </c>
      <c r="C7" s="26"/>
      <c r="D7" s="28"/>
      <c r="E7" s="29"/>
      <c r="F7" s="30"/>
      <c r="G7" s="27"/>
      <c r="H7" s="31"/>
      <c r="I7" s="30">
        <f>SUBTOTAL(9,tablet[nomSaldoAwalSem1])</f>
        <v>1605964942.3366666</v>
      </c>
      <c r="J7" s="30"/>
      <c r="K7" s="30">
        <f>SUBTOTAL(9,tablet[nomTerima2025])</f>
        <v>2687747371.5799999</v>
      </c>
      <c r="L7" s="30"/>
      <c r="M7" s="30">
        <f>SUBTOTAL(9,tablet[nomDist2025])</f>
        <v>2565395212.2766666</v>
      </c>
      <c r="N7" s="30"/>
      <c r="O7" s="30">
        <f>SUBTOTAL(9,tablet[nomEd2025])</f>
        <v>105514003</v>
      </c>
      <c r="P7" s="30"/>
      <c r="Q7" s="30">
        <f>SUBTOTAL(9,tablet[nomSaldoAkhir2025])</f>
        <v>1622803098.6400001</v>
      </c>
      <c r="S7" s="32">
        <f>IFERROR(I7+K7-(M7+O7),0)</f>
        <v>1622803098.6399999</v>
      </c>
      <c r="T7" s="32">
        <f>IFERROR(Q7-S7,0)</f>
        <v>2.384185791015625E-7</v>
      </c>
      <c r="U7" s="33" t="s">
        <v>17</v>
      </c>
      <c r="V7" s="3" t="str" cm="1">
        <f t="array" ref="V7:V22">_xlfn.UNIQUE(G9:G1008)</f>
        <v>HIBAH</v>
      </c>
      <c r="W7" s="34" t="s">
        <v>18</v>
      </c>
    </row>
    <row r="8" spans="1:23" ht="14.4" x14ac:dyDescent="0.3">
      <c r="A8" s="35" t="s">
        <v>19</v>
      </c>
      <c r="B8" s="36" t="s">
        <v>20</v>
      </c>
      <c r="C8" s="37" t="s">
        <v>21</v>
      </c>
      <c r="D8" s="38" t="s">
        <v>22</v>
      </c>
      <c r="E8" s="39" t="s">
        <v>23</v>
      </c>
      <c r="F8" s="40" t="s">
        <v>24</v>
      </c>
      <c r="G8" s="36" t="s">
        <v>25</v>
      </c>
      <c r="H8" s="41" t="s">
        <v>26</v>
      </c>
      <c r="I8" s="40" t="s">
        <v>27</v>
      </c>
      <c r="J8" s="42" t="s">
        <v>28</v>
      </c>
      <c r="K8" s="42" t="s">
        <v>29</v>
      </c>
      <c r="L8" s="42" t="s">
        <v>30</v>
      </c>
      <c r="M8" s="42" t="s">
        <v>31</v>
      </c>
      <c r="N8" s="42" t="s">
        <v>32</v>
      </c>
      <c r="O8" s="42" t="s">
        <v>33</v>
      </c>
      <c r="P8" s="37" t="s">
        <v>34</v>
      </c>
      <c r="Q8" s="43" t="s">
        <v>35</v>
      </c>
      <c r="S8" s="32">
        <f t="shared" ref="S8:S71" si="0">IFERROR(I8+K8-(M8+O8),0)</f>
        <v>0</v>
      </c>
      <c r="T8" s="32">
        <f t="shared" ref="T8:T71" si="1">IFERROR(Q8-S8,0)</f>
        <v>0</v>
      </c>
      <c r="U8" s="33"/>
      <c r="V8" s="3" t="str">
        <v>DAK</v>
      </c>
      <c r="W8" s="34" t="s">
        <v>36</v>
      </c>
    </row>
    <row r="9" spans="1:23" ht="14.4" x14ac:dyDescent="0.3">
      <c r="A9" s="44">
        <v>1</v>
      </c>
      <c r="B9" s="45" t="s">
        <v>37</v>
      </c>
      <c r="C9" s="46" t="s">
        <v>38</v>
      </c>
      <c r="D9" s="47" t="s">
        <v>39</v>
      </c>
      <c r="E9" s="48">
        <v>46419</v>
      </c>
      <c r="F9" s="49">
        <v>99720</v>
      </c>
      <c r="G9" s="45" t="s">
        <v>40</v>
      </c>
      <c r="H9" s="50">
        <v>13</v>
      </c>
      <c r="I9" s="49">
        <f>tablet[[#This Row],[qtySaldoAwalSem1]]*tablet[[#This Row],[hargaSatuan]]</f>
        <v>1296360</v>
      </c>
      <c r="J9" s="50">
        <v>26</v>
      </c>
      <c r="K9" s="51">
        <f>tablet[[#This Row],[qtyTerima2025]]*tablet[[#This Row],[hargaSatuan]]</f>
        <v>2592720</v>
      </c>
      <c r="L9" s="50">
        <v>19</v>
      </c>
      <c r="M9" s="51">
        <f>tablet[[#This Row],[qtyDist2025]]*tablet[[#This Row],[hargaSatuan]]</f>
        <v>1894680</v>
      </c>
      <c r="N9" s="50">
        <v>0</v>
      </c>
      <c r="O9" s="51">
        <f>tablet[[#This Row],[qtyEd2025]]*tablet[[#This Row],[hargaSatuan]]</f>
        <v>0</v>
      </c>
      <c r="P9" s="50">
        <v>20</v>
      </c>
      <c r="Q9" s="52">
        <f>tablet[[#This Row],[qtySaldoAkhir2025]]*tablet[[#This Row],[hargaSatuan]]</f>
        <v>1994400</v>
      </c>
      <c r="S9" s="32">
        <f t="shared" si="0"/>
        <v>1994400</v>
      </c>
      <c r="T9" s="32">
        <f t="shared" si="1"/>
        <v>0</v>
      </c>
      <c r="U9" s="33"/>
      <c r="V9" s="3" t="str">
        <v>SILPA DAU SG</v>
      </c>
      <c r="W9" s="3" t="s">
        <v>41</v>
      </c>
    </row>
    <row r="10" spans="1:23" ht="14.4" x14ac:dyDescent="0.3">
      <c r="A10" s="44">
        <v>2</v>
      </c>
      <c r="B10" s="45" t="s">
        <v>37</v>
      </c>
      <c r="C10" s="46" t="s">
        <v>38</v>
      </c>
      <c r="D10" s="47" t="s">
        <v>42</v>
      </c>
      <c r="E10" s="48">
        <v>46446</v>
      </c>
      <c r="F10" s="49">
        <v>99720</v>
      </c>
      <c r="G10" s="45" t="s">
        <v>40</v>
      </c>
      <c r="H10" s="50">
        <v>0</v>
      </c>
      <c r="I10" s="49">
        <f>tablet[[#This Row],[qtySaldoAwalSem1]]*tablet[[#This Row],[hargaSatuan]]</f>
        <v>0</v>
      </c>
      <c r="J10" s="50">
        <v>20</v>
      </c>
      <c r="K10" s="51">
        <f>tablet[[#This Row],[qtyTerima2025]]*tablet[[#This Row],[hargaSatuan]]</f>
        <v>1994400</v>
      </c>
      <c r="L10" s="50">
        <v>0</v>
      </c>
      <c r="M10" s="51">
        <f>tablet[[#This Row],[qtyDist2025]]*tablet[[#This Row],[hargaSatuan]]</f>
        <v>0</v>
      </c>
      <c r="N10" s="50">
        <v>0</v>
      </c>
      <c r="O10" s="51">
        <f>tablet[[#This Row],[qtyEd2025]]*tablet[[#This Row],[hargaSatuan]]</f>
        <v>0</v>
      </c>
      <c r="P10" s="50">
        <v>20</v>
      </c>
      <c r="Q10" s="52">
        <f>tablet[[#This Row],[qtySaldoAkhir2025]]*tablet[[#This Row],[hargaSatuan]]</f>
        <v>1994400</v>
      </c>
      <c r="S10" s="32">
        <f t="shared" si="0"/>
        <v>1994400</v>
      </c>
      <c r="T10" s="32">
        <f t="shared" si="1"/>
        <v>0</v>
      </c>
      <c r="U10" s="33"/>
      <c r="V10" s="3" t="str">
        <v>PAD YANG SAH</v>
      </c>
      <c r="W10" s="3" t="s">
        <v>43</v>
      </c>
    </row>
    <row r="11" spans="1:23" ht="14.4" x14ac:dyDescent="0.3">
      <c r="A11" s="44">
        <v>3</v>
      </c>
      <c r="B11" s="45" t="s">
        <v>44</v>
      </c>
      <c r="C11" s="46" t="s">
        <v>38</v>
      </c>
      <c r="D11" s="47">
        <v>3179348</v>
      </c>
      <c r="E11" s="48">
        <v>46478</v>
      </c>
      <c r="F11" s="49">
        <v>104213</v>
      </c>
      <c r="G11" s="45" t="s">
        <v>40</v>
      </c>
      <c r="H11" s="50">
        <v>2</v>
      </c>
      <c r="I11" s="49">
        <f>tablet[[#This Row],[qtySaldoAwalSem1]]*tablet[[#This Row],[hargaSatuan]]</f>
        <v>208426</v>
      </c>
      <c r="J11" s="50">
        <v>10</v>
      </c>
      <c r="K11" s="51">
        <f>tablet[[#This Row],[qtyTerima2025]]*tablet[[#This Row],[hargaSatuan]]</f>
        <v>1042130</v>
      </c>
      <c r="L11" s="50">
        <v>6</v>
      </c>
      <c r="M11" s="51">
        <f>tablet[[#This Row],[qtyDist2025]]*tablet[[#This Row],[hargaSatuan]]</f>
        <v>625278</v>
      </c>
      <c r="N11" s="50">
        <v>0</v>
      </c>
      <c r="O11" s="51">
        <f>tablet[[#This Row],[qtyEd2025]]*tablet[[#This Row],[hargaSatuan]]</f>
        <v>0</v>
      </c>
      <c r="P11" s="50">
        <v>6</v>
      </c>
      <c r="Q11" s="52">
        <f>tablet[[#This Row],[qtySaldoAkhir2025]]*tablet[[#This Row],[hargaSatuan]]</f>
        <v>625278</v>
      </c>
      <c r="S11" s="32">
        <f t="shared" si="0"/>
        <v>625278</v>
      </c>
      <c r="T11" s="32">
        <f t="shared" si="1"/>
        <v>0</v>
      </c>
      <c r="U11" s="33"/>
      <c r="V11" s="3" t="str">
        <v>DAU SG</v>
      </c>
      <c r="W11" s="3" t="s">
        <v>17</v>
      </c>
    </row>
    <row r="12" spans="1:23" ht="14.4" x14ac:dyDescent="0.3">
      <c r="A12" s="44">
        <v>4</v>
      </c>
      <c r="B12" s="45" t="s">
        <v>44</v>
      </c>
      <c r="C12" s="46" t="s">
        <v>38</v>
      </c>
      <c r="D12" s="47">
        <v>3179348</v>
      </c>
      <c r="E12" s="48">
        <v>46507</v>
      </c>
      <c r="F12" s="49">
        <v>104213</v>
      </c>
      <c r="G12" s="45" t="s">
        <v>40</v>
      </c>
      <c r="H12" s="50">
        <v>0</v>
      </c>
      <c r="I12" s="49">
        <f>tablet[[#This Row],[qtySaldoAwalSem1]]*tablet[[#This Row],[hargaSatuan]]</f>
        <v>0</v>
      </c>
      <c r="J12" s="50">
        <v>0</v>
      </c>
      <c r="K12" s="51">
        <f>tablet[[#This Row],[qtyTerima2025]]*tablet[[#This Row],[hargaSatuan]]</f>
        <v>0</v>
      </c>
      <c r="L12" s="50">
        <v>0</v>
      </c>
      <c r="M12" s="51">
        <f>tablet[[#This Row],[qtyDist2025]]*tablet[[#This Row],[hargaSatuan]]</f>
        <v>0</v>
      </c>
      <c r="N12" s="50">
        <v>0</v>
      </c>
      <c r="O12" s="51">
        <f>tablet[[#This Row],[qtyEd2025]]*tablet[[#This Row],[hargaSatuan]]</f>
        <v>0</v>
      </c>
      <c r="P12" s="50">
        <v>0</v>
      </c>
      <c r="Q12" s="52">
        <f>tablet[[#This Row],[qtySaldoAkhir2025]]*tablet[[#This Row],[hargaSatuan]]</f>
        <v>0</v>
      </c>
      <c r="S12" s="32">
        <f t="shared" si="0"/>
        <v>0</v>
      </c>
      <c r="T12" s="32">
        <f t="shared" si="1"/>
        <v>0</v>
      </c>
      <c r="U12" s="33"/>
      <c r="V12" s="3" t="str">
        <v>DAU</v>
      </c>
      <c r="W12" s="3" t="s">
        <v>45</v>
      </c>
    </row>
    <row r="13" spans="1:23" ht="14.4" x14ac:dyDescent="0.3">
      <c r="A13" s="44">
        <v>5</v>
      </c>
      <c r="B13" s="45" t="s">
        <v>46</v>
      </c>
      <c r="C13" s="46" t="s">
        <v>47</v>
      </c>
      <c r="D13" s="47">
        <v>1404741</v>
      </c>
      <c r="E13" s="48">
        <v>46500</v>
      </c>
      <c r="F13" s="49">
        <v>457</v>
      </c>
      <c r="G13" s="45" t="s">
        <v>40</v>
      </c>
      <c r="H13" s="50">
        <v>0</v>
      </c>
      <c r="I13" s="49">
        <f>tablet[[#This Row],[qtySaldoAwalSem1]]*tablet[[#This Row],[hargaSatuan]]</f>
        <v>0</v>
      </c>
      <c r="J13" s="50">
        <v>30000</v>
      </c>
      <c r="K13" s="51">
        <f>tablet[[#This Row],[qtyTerima2025]]*tablet[[#This Row],[hargaSatuan]]</f>
        <v>13710000</v>
      </c>
      <c r="L13" s="50">
        <v>30000</v>
      </c>
      <c r="M13" s="51">
        <f>tablet[[#This Row],[qtyDist2025]]*tablet[[#This Row],[hargaSatuan]]</f>
        <v>13710000</v>
      </c>
      <c r="N13" s="50">
        <v>0</v>
      </c>
      <c r="O13" s="51">
        <f>tablet[[#This Row],[qtyEd2025]]*tablet[[#This Row],[hargaSatuan]]</f>
        <v>0</v>
      </c>
      <c r="P13" s="50">
        <v>0</v>
      </c>
      <c r="Q13" s="52">
        <f>tablet[[#This Row],[qtySaldoAkhir2025]]*tablet[[#This Row],[hargaSatuan]]</f>
        <v>0</v>
      </c>
      <c r="S13" s="32">
        <f t="shared" si="0"/>
        <v>0</v>
      </c>
      <c r="T13" s="32">
        <f t="shared" si="1"/>
        <v>0</v>
      </c>
      <c r="U13" s="33"/>
      <c r="V13" s="3" t="str">
        <v>APBD</v>
      </c>
      <c r="W13" s="3" t="s">
        <v>48</v>
      </c>
    </row>
    <row r="14" spans="1:23" ht="14.4" x14ac:dyDescent="0.3">
      <c r="A14" s="44">
        <v>6</v>
      </c>
      <c r="B14" s="45" t="s">
        <v>46</v>
      </c>
      <c r="C14" s="46" t="s">
        <v>47</v>
      </c>
      <c r="D14" s="47">
        <v>1410049</v>
      </c>
      <c r="E14" s="48">
        <v>46661</v>
      </c>
      <c r="F14" s="49">
        <v>538</v>
      </c>
      <c r="G14" s="45" t="s">
        <v>40</v>
      </c>
      <c r="H14" s="50">
        <v>0</v>
      </c>
      <c r="I14" s="49">
        <f>tablet[[#This Row],[qtySaldoAwalSem1]]*tablet[[#This Row],[hargaSatuan]]</f>
        <v>0</v>
      </c>
      <c r="J14" s="50">
        <v>60000</v>
      </c>
      <c r="K14" s="51">
        <f>tablet[[#This Row],[qtyTerima2025]]*tablet[[#This Row],[hargaSatuan]]</f>
        <v>32280000</v>
      </c>
      <c r="L14" s="50">
        <v>49030</v>
      </c>
      <c r="M14" s="51">
        <f>tablet[[#This Row],[qtyDist2025]]*tablet[[#This Row],[hargaSatuan]]</f>
        <v>26378140</v>
      </c>
      <c r="N14" s="50">
        <v>0</v>
      </c>
      <c r="O14" s="51">
        <f>tablet[[#This Row],[qtyEd2025]]*tablet[[#This Row],[hargaSatuan]]</f>
        <v>0</v>
      </c>
      <c r="P14" s="50">
        <v>10970</v>
      </c>
      <c r="Q14" s="52">
        <f>tablet[[#This Row],[qtySaldoAkhir2025]]*tablet[[#This Row],[hargaSatuan]]</f>
        <v>5901860</v>
      </c>
      <c r="S14" s="32">
        <f t="shared" si="0"/>
        <v>5901860</v>
      </c>
      <c r="T14" s="32">
        <f t="shared" si="1"/>
        <v>0</v>
      </c>
      <c r="U14" s="33"/>
      <c r="V14" s="3">
        <v>0</v>
      </c>
      <c r="W14" s="3" t="s">
        <v>49</v>
      </c>
    </row>
    <row r="15" spans="1:23" ht="14.4" x14ac:dyDescent="0.3">
      <c r="A15" s="44">
        <v>7</v>
      </c>
      <c r="B15" s="45" t="s">
        <v>46</v>
      </c>
      <c r="C15" s="46" t="s">
        <v>47</v>
      </c>
      <c r="D15" s="47">
        <v>1410048</v>
      </c>
      <c r="E15" s="48">
        <v>46661</v>
      </c>
      <c r="F15" s="49">
        <v>538</v>
      </c>
      <c r="G15" s="45" t="s">
        <v>40</v>
      </c>
      <c r="H15" s="50">
        <v>0</v>
      </c>
      <c r="I15" s="49">
        <f>tablet[[#This Row],[qtySaldoAwalSem1]]*tablet[[#This Row],[hargaSatuan]]</f>
        <v>0</v>
      </c>
      <c r="J15" s="50">
        <v>40000</v>
      </c>
      <c r="K15" s="51">
        <f>tablet[[#This Row],[qtyTerima2025]]*tablet[[#This Row],[hargaSatuan]]</f>
        <v>21520000</v>
      </c>
      <c r="L15" s="50">
        <v>40000</v>
      </c>
      <c r="M15" s="51">
        <f>tablet[[#This Row],[qtyDist2025]]*tablet[[#This Row],[hargaSatuan]]</f>
        <v>21520000</v>
      </c>
      <c r="N15" s="50">
        <v>0</v>
      </c>
      <c r="O15" s="51">
        <f>tablet[[#This Row],[qtyEd2025]]*tablet[[#This Row],[hargaSatuan]]</f>
        <v>0</v>
      </c>
      <c r="P15" s="50">
        <v>0</v>
      </c>
      <c r="Q15" s="52">
        <f>tablet[[#This Row],[qtySaldoAkhir2025]]*tablet[[#This Row],[hargaSatuan]]</f>
        <v>0</v>
      </c>
      <c r="S15" s="32">
        <f t="shared" si="0"/>
        <v>0</v>
      </c>
      <c r="T15" s="32">
        <f t="shared" si="1"/>
        <v>0</v>
      </c>
      <c r="V15" s="3" t="str">
        <v>sumberDana</v>
      </c>
    </row>
    <row r="16" spans="1:23" ht="14.4" x14ac:dyDescent="0.3">
      <c r="A16" s="44">
        <v>8</v>
      </c>
      <c r="B16" s="45" t="s">
        <v>46</v>
      </c>
      <c r="C16" s="46" t="s">
        <v>47</v>
      </c>
      <c r="D16" s="47">
        <v>1410048</v>
      </c>
      <c r="E16" s="48">
        <v>46673</v>
      </c>
      <c r="F16" s="49">
        <v>538</v>
      </c>
      <c r="G16" s="45" t="s">
        <v>40</v>
      </c>
      <c r="H16" s="50">
        <v>0</v>
      </c>
      <c r="I16" s="49">
        <f>tablet[[#This Row],[qtySaldoAwalSem1]]*tablet[[#This Row],[hargaSatuan]]</f>
        <v>0</v>
      </c>
      <c r="J16" s="50">
        <v>40000</v>
      </c>
      <c r="K16" s="51">
        <f>tablet[[#This Row],[qtyTerima2025]]*tablet[[#This Row],[hargaSatuan]]</f>
        <v>21520000</v>
      </c>
      <c r="L16" s="50">
        <v>0</v>
      </c>
      <c r="M16" s="51">
        <f>tablet[[#This Row],[qtyDist2025]]*tablet[[#This Row],[hargaSatuan]]</f>
        <v>0</v>
      </c>
      <c r="N16" s="50">
        <v>0</v>
      </c>
      <c r="O16" s="51">
        <f>tablet[[#This Row],[qtyEd2025]]*tablet[[#This Row],[hargaSatuan]]</f>
        <v>0</v>
      </c>
      <c r="P16" s="50">
        <v>40000</v>
      </c>
      <c r="Q16" s="52">
        <f>tablet[[#This Row],[qtySaldoAkhir2025]]*tablet[[#This Row],[hargaSatuan]]</f>
        <v>21520000</v>
      </c>
      <c r="S16" s="32">
        <f t="shared" si="0"/>
        <v>21520000</v>
      </c>
      <c r="T16" s="32">
        <f t="shared" si="1"/>
        <v>0</v>
      </c>
      <c r="V16" s="3" t="str">
        <v>PROGRAM</v>
      </c>
      <c r="W16" s="3" t="s">
        <v>50</v>
      </c>
    </row>
    <row r="17" spans="1:23" ht="14.4" x14ac:dyDescent="0.3">
      <c r="A17" s="44">
        <v>9</v>
      </c>
      <c r="B17" s="45" t="s">
        <v>46</v>
      </c>
      <c r="C17" s="46" t="s">
        <v>47</v>
      </c>
      <c r="D17" s="47">
        <v>1410049</v>
      </c>
      <c r="E17" s="48">
        <v>46673</v>
      </c>
      <c r="F17" s="49">
        <v>538</v>
      </c>
      <c r="G17" s="45" t="s">
        <v>40</v>
      </c>
      <c r="H17" s="50">
        <v>0</v>
      </c>
      <c r="I17" s="49">
        <f>tablet[[#This Row],[qtySaldoAwalSem1]]*tablet[[#This Row],[hargaSatuan]]</f>
        <v>0</v>
      </c>
      <c r="J17" s="50">
        <v>30000</v>
      </c>
      <c r="K17" s="51">
        <f>tablet[[#This Row],[qtyTerima2025]]*tablet[[#This Row],[hargaSatuan]]</f>
        <v>16140000</v>
      </c>
      <c r="L17" s="50">
        <v>0</v>
      </c>
      <c r="M17" s="51">
        <f>tablet[[#This Row],[qtyDist2025]]*tablet[[#This Row],[hargaSatuan]]</f>
        <v>0</v>
      </c>
      <c r="N17" s="50">
        <v>0</v>
      </c>
      <c r="O17" s="51">
        <f>tablet[[#This Row],[qtyEd2025]]*tablet[[#This Row],[hargaSatuan]]</f>
        <v>0</v>
      </c>
      <c r="P17" s="50">
        <v>30000</v>
      </c>
      <c r="Q17" s="52">
        <f>tablet[[#This Row],[qtySaldoAkhir2025]]*tablet[[#This Row],[hargaSatuan]]</f>
        <v>16140000</v>
      </c>
      <c r="S17" s="32">
        <f t="shared" si="0"/>
        <v>16140000</v>
      </c>
      <c r="T17" s="32">
        <f t="shared" si="1"/>
        <v>0</v>
      </c>
      <c r="V17" s="3" t="str">
        <v>DID</v>
      </c>
    </row>
    <row r="18" spans="1:23" ht="14.4" x14ac:dyDescent="0.3">
      <c r="A18" s="44">
        <v>10</v>
      </c>
      <c r="B18" s="45" t="s">
        <v>51</v>
      </c>
      <c r="C18" s="46" t="s">
        <v>52</v>
      </c>
      <c r="D18" s="47" t="s">
        <v>53</v>
      </c>
      <c r="E18" s="48">
        <v>46600</v>
      </c>
      <c r="F18" s="49">
        <v>161</v>
      </c>
      <c r="G18" s="45" t="s">
        <v>54</v>
      </c>
      <c r="H18" s="50">
        <v>33000</v>
      </c>
      <c r="I18" s="49">
        <f>tablet[[#This Row],[qtySaldoAwalSem1]]*tablet[[#This Row],[hargaSatuan]]</f>
        <v>5313000</v>
      </c>
      <c r="J18" s="50">
        <v>0</v>
      </c>
      <c r="K18" s="51">
        <f>tablet[[#This Row],[qtyTerima2025]]*tablet[[#This Row],[hargaSatuan]]</f>
        <v>0</v>
      </c>
      <c r="L18" s="50">
        <v>33000</v>
      </c>
      <c r="M18" s="51">
        <f>tablet[[#This Row],[qtyDist2025]]*tablet[[#This Row],[hargaSatuan]]</f>
        <v>5313000</v>
      </c>
      <c r="N18" s="50">
        <v>0</v>
      </c>
      <c r="O18" s="51">
        <f>tablet[[#This Row],[qtyEd2025]]*tablet[[#This Row],[hargaSatuan]]</f>
        <v>0</v>
      </c>
      <c r="P18" s="50">
        <v>0</v>
      </c>
      <c r="Q18" s="52">
        <f>tablet[[#This Row],[qtySaldoAkhir2025]]*tablet[[#This Row],[hargaSatuan]]</f>
        <v>0</v>
      </c>
      <c r="S18" s="32">
        <f t="shared" si="0"/>
        <v>0</v>
      </c>
      <c r="T18" s="32">
        <f t="shared" si="1"/>
        <v>0</v>
      </c>
      <c r="V18" s="3" t="str">
        <v>REFOCUSING</v>
      </c>
      <c r="W18" s="3" t="s">
        <v>55</v>
      </c>
    </row>
    <row r="19" spans="1:23" ht="14.4" x14ac:dyDescent="0.3">
      <c r="A19" s="44">
        <v>11</v>
      </c>
      <c r="B19" s="45" t="s">
        <v>51</v>
      </c>
      <c r="C19" s="46" t="s">
        <v>52</v>
      </c>
      <c r="D19" s="47" t="s">
        <v>56</v>
      </c>
      <c r="E19" s="48">
        <v>46812</v>
      </c>
      <c r="F19" s="49">
        <v>161</v>
      </c>
      <c r="G19" s="45" t="s">
        <v>18</v>
      </c>
      <c r="H19" s="50">
        <v>0</v>
      </c>
      <c r="I19" s="49">
        <f>tablet[[#This Row],[qtySaldoAwalSem1]]*tablet[[#This Row],[hargaSatuan]]</f>
        <v>0</v>
      </c>
      <c r="J19" s="50">
        <v>10600</v>
      </c>
      <c r="K19" s="51">
        <f>tablet[[#This Row],[qtyTerima2025]]*tablet[[#This Row],[hargaSatuan]]</f>
        <v>1706600</v>
      </c>
      <c r="L19" s="50">
        <v>10600</v>
      </c>
      <c r="M19" s="51">
        <f>tablet[[#This Row],[qtyDist2025]]*tablet[[#This Row],[hargaSatuan]]</f>
        <v>1706600</v>
      </c>
      <c r="N19" s="50">
        <v>0</v>
      </c>
      <c r="O19" s="51">
        <f>tablet[[#This Row],[qtyEd2025]]*tablet[[#This Row],[hargaSatuan]]</f>
        <v>0</v>
      </c>
      <c r="P19" s="50">
        <v>0</v>
      </c>
      <c r="Q19" s="52">
        <f>tablet[[#This Row],[qtySaldoAkhir2025]]*tablet[[#This Row],[hargaSatuan]]</f>
        <v>0</v>
      </c>
      <c r="S19" s="32">
        <f t="shared" si="0"/>
        <v>0</v>
      </c>
      <c r="T19" s="32">
        <f t="shared" si="1"/>
        <v>0</v>
      </c>
      <c r="V19" s="3" t="str">
        <v>DONASI</v>
      </c>
    </row>
    <row r="20" spans="1:23" ht="14.4" x14ac:dyDescent="0.3">
      <c r="A20" s="44">
        <v>12</v>
      </c>
      <c r="B20" s="45" t="s">
        <v>51</v>
      </c>
      <c r="C20" s="46" t="s">
        <v>52</v>
      </c>
      <c r="D20" s="47" t="s">
        <v>57</v>
      </c>
      <c r="E20" s="48">
        <v>46812</v>
      </c>
      <c r="F20" s="49">
        <v>161</v>
      </c>
      <c r="G20" s="45" t="s">
        <v>18</v>
      </c>
      <c r="H20" s="50">
        <v>0</v>
      </c>
      <c r="I20" s="49">
        <f>tablet[[#This Row],[qtySaldoAwalSem1]]*tablet[[#This Row],[hargaSatuan]]</f>
        <v>0</v>
      </c>
      <c r="J20" s="50">
        <v>64400</v>
      </c>
      <c r="K20" s="51">
        <f>tablet[[#This Row],[qtyTerima2025]]*tablet[[#This Row],[hargaSatuan]]</f>
        <v>10368400</v>
      </c>
      <c r="L20" s="50">
        <v>29400</v>
      </c>
      <c r="M20" s="51">
        <f>tablet[[#This Row],[qtyDist2025]]*tablet[[#This Row],[hargaSatuan]]</f>
        <v>4733400</v>
      </c>
      <c r="N20" s="50">
        <v>0</v>
      </c>
      <c r="O20" s="51">
        <f>tablet[[#This Row],[qtyEd2025]]*tablet[[#This Row],[hargaSatuan]]</f>
        <v>0</v>
      </c>
      <c r="P20" s="50">
        <v>35000</v>
      </c>
      <c r="Q20" s="52">
        <f>tablet[[#This Row],[qtySaldoAkhir2025]]*tablet[[#This Row],[hargaSatuan]]</f>
        <v>5635000</v>
      </c>
      <c r="S20" s="32">
        <f t="shared" si="0"/>
        <v>5635000</v>
      </c>
      <c r="T20" s="32">
        <f t="shared" si="1"/>
        <v>0</v>
      </c>
      <c r="V20" s="3" t="str">
        <v>PENDAPATAN BAGI HASIL</v>
      </c>
      <c r="W20" s="3" t="s">
        <v>54</v>
      </c>
    </row>
    <row r="21" spans="1:23" ht="14.4" x14ac:dyDescent="0.3">
      <c r="A21" s="44">
        <v>13</v>
      </c>
      <c r="B21" s="45" t="s">
        <v>51</v>
      </c>
      <c r="C21" s="46" t="s">
        <v>52</v>
      </c>
      <c r="D21" s="47" t="s">
        <v>58</v>
      </c>
      <c r="E21" s="48">
        <v>46568</v>
      </c>
      <c r="F21" s="49">
        <v>160.94999999999999</v>
      </c>
      <c r="G21" s="45" t="s">
        <v>18</v>
      </c>
      <c r="H21" s="50">
        <v>0</v>
      </c>
      <c r="I21" s="49">
        <f>tablet[[#This Row],[qtySaldoAwalSem1]]*tablet[[#This Row],[hargaSatuan]]</f>
        <v>0</v>
      </c>
      <c r="J21" s="50">
        <v>90300</v>
      </c>
      <c r="K21" s="51">
        <f>tablet[[#This Row],[qtyTerima2025]]*tablet[[#This Row],[hargaSatuan]]</f>
        <v>14533784.999999998</v>
      </c>
      <c r="L21" s="50">
        <v>0</v>
      </c>
      <c r="M21" s="51">
        <f>tablet[[#This Row],[qtyDist2025]]*tablet[[#This Row],[hargaSatuan]]</f>
        <v>0</v>
      </c>
      <c r="N21" s="50">
        <v>0</v>
      </c>
      <c r="O21" s="51">
        <f>tablet[[#This Row],[qtyEd2025]]*tablet[[#This Row],[hargaSatuan]]</f>
        <v>0</v>
      </c>
      <c r="P21" s="50">
        <v>90300</v>
      </c>
      <c r="Q21" s="52">
        <f>tablet[[#This Row],[qtySaldoAkhir2025]]*tablet[[#This Row],[hargaSatuan]]</f>
        <v>14533784.999999998</v>
      </c>
      <c r="S21" s="32">
        <f t="shared" si="0"/>
        <v>14533784.999999998</v>
      </c>
      <c r="T21" s="32">
        <f t="shared" si="1"/>
        <v>0</v>
      </c>
      <c r="V21" s="3" t="str">
        <v>BTT</v>
      </c>
    </row>
    <row r="22" spans="1:23" ht="14.4" x14ac:dyDescent="0.3">
      <c r="A22" s="44">
        <v>14</v>
      </c>
      <c r="B22" s="45" t="s">
        <v>51</v>
      </c>
      <c r="C22" s="46" t="s">
        <v>52</v>
      </c>
      <c r="D22" s="47" t="s">
        <v>59</v>
      </c>
      <c r="E22" s="48">
        <v>46568</v>
      </c>
      <c r="F22" s="49">
        <v>160.94999999999999</v>
      </c>
      <c r="G22" s="45" t="s">
        <v>18</v>
      </c>
      <c r="H22" s="50">
        <v>0</v>
      </c>
      <c r="I22" s="49">
        <f>tablet[[#This Row],[qtySaldoAwalSem1]]*tablet[[#This Row],[hargaSatuan]]</f>
        <v>0</v>
      </c>
      <c r="J22" s="50">
        <v>5000</v>
      </c>
      <c r="K22" s="51">
        <f>tablet[[#This Row],[qtyTerima2025]]*tablet[[#This Row],[hargaSatuan]]</f>
        <v>804750</v>
      </c>
      <c r="L22" s="50">
        <v>5000</v>
      </c>
      <c r="M22" s="51">
        <f>tablet[[#This Row],[qtyDist2025]]*tablet[[#This Row],[hargaSatuan]]</f>
        <v>804750</v>
      </c>
      <c r="N22" s="50">
        <v>0</v>
      </c>
      <c r="O22" s="51">
        <f>tablet[[#This Row],[qtyEd2025]]*tablet[[#This Row],[hargaSatuan]]</f>
        <v>0</v>
      </c>
      <c r="P22" s="50">
        <v>0</v>
      </c>
      <c r="Q22" s="52">
        <f>tablet[[#This Row],[qtySaldoAkhir2025]]*tablet[[#This Row],[hargaSatuan]]</f>
        <v>0</v>
      </c>
      <c r="S22" s="32">
        <f t="shared" si="0"/>
        <v>0</v>
      </c>
      <c r="T22" s="32">
        <f t="shared" si="1"/>
        <v>0</v>
      </c>
      <c r="V22" s="3" t="str">
        <v>DAK NON FISIK</v>
      </c>
      <c r="W22" s="3" t="s">
        <v>60</v>
      </c>
    </row>
    <row r="23" spans="1:23" ht="14.4" x14ac:dyDescent="0.3">
      <c r="A23" s="44">
        <v>15</v>
      </c>
      <c r="B23" s="45" t="s">
        <v>51</v>
      </c>
      <c r="C23" s="46" t="s">
        <v>52</v>
      </c>
      <c r="D23" s="47" t="s">
        <v>61</v>
      </c>
      <c r="E23" s="48">
        <v>46568</v>
      </c>
      <c r="F23" s="49">
        <v>160.94999999999999</v>
      </c>
      <c r="G23" s="45" t="s">
        <v>18</v>
      </c>
      <c r="H23" s="50">
        <v>0</v>
      </c>
      <c r="I23" s="49">
        <f>tablet[[#This Row],[qtySaldoAwalSem1]]*tablet[[#This Row],[hargaSatuan]]</f>
        <v>0</v>
      </c>
      <c r="J23" s="50">
        <v>147000</v>
      </c>
      <c r="K23" s="51">
        <f>tablet[[#This Row],[qtyTerima2025]]*tablet[[#This Row],[hargaSatuan]]</f>
        <v>23659650</v>
      </c>
      <c r="L23" s="50">
        <v>0</v>
      </c>
      <c r="M23" s="51">
        <f>tablet[[#This Row],[qtyDist2025]]*tablet[[#This Row],[hargaSatuan]]</f>
        <v>0</v>
      </c>
      <c r="N23" s="50">
        <v>0</v>
      </c>
      <c r="O23" s="51">
        <f>tablet[[#This Row],[qtyEd2025]]*tablet[[#This Row],[hargaSatuan]]</f>
        <v>0</v>
      </c>
      <c r="P23" s="50">
        <v>147000</v>
      </c>
      <c r="Q23" s="52">
        <f>tablet[[#This Row],[qtySaldoAkhir2025]]*tablet[[#This Row],[hargaSatuan]]</f>
        <v>23659650</v>
      </c>
      <c r="S23" s="32">
        <f t="shared" si="0"/>
        <v>23659650</v>
      </c>
      <c r="T23" s="32">
        <f t="shared" si="1"/>
        <v>0</v>
      </c>
    </row>
    <row r="24" spans="1:23" ht="14.4" x14ac:dyDescent="0.3">
      <c r="A24" s="44">
        <v>16</v>
      </c>
      <c r="B24" s="45" t="s">
        <v>51</v>
      </c>
      <c r="C24" s="46" t="s">
        <v>52</v>
      </c>
      <c r="D24" s="47" t="s">
        <v>62</v>
      </c>
      <c r="E24" s="48">
        <v>46599</v>
      </c>
      <c r="F24" s="49">
        <v>160.94999999999999</v>
      </c>
      <c r="G24" s="45" t="s">
        <v>18</v>
      </c>
      <c r="H24" s="50">
        <v>0</v>
      </c>
      <c r="I24" s="49">
        <f>tablet[[#This Row],[qtySaldoAwalSem1]]*tablet[[#This Row],[hargaSatuan]]</f>
        <v>0</v>
      </c>
      <c r="J24" s="50">
        <v>44100</v>
      </c>
      <c r="K24" s="51">
        <f>tablet[[#This Row],[qtyTerima2025]]*tablet[[#This Row],[hargaSatuan]]</f>
        <v>7097894.9999999991</v>
      </c>
      <c r="L24" s="50">
        <v>0</v>
      </c>
      <c r="M24" s="51">
        <f>tablet[[#This Row],[qtyDist2025]]*tablet[[#This Row],[hargaSatuan]]</f>
        <v>0</v>
      </c>
      <c r="N24" s="50">
        <v>0</v>
      </c>
      <c r="O24" s="51">
        <f>tablet[[#This Row],[qtyEd2025]]*tablet[[#This Row],[hargaSatuan]]</f>
        <v>0</v>
      </c>
      <c r="P24" s="50">
        <v>44100</v>
      </c>
      <c r="Q24" s="52">
        <f>tablet[[#This Row],[qtySaldoAkhir2025]]*tablet[[#This Row],[hargaSatuan]]</f>
        <v>7097894.9999999991</v>
      </c>
      <c r="S24" s="32">
        <f t="shared" si="0"/>
        <v>7097894.9999999991</v>
      </c>
      <c r="T24" s="32">
        <f t="shared" si="1"/>
        <v>0</v>
      </c>
      <c r="W24" s="3" t="s">
        <v>40</v>
      </c>
    </row>
    <row r="25" spans="1:23" ht="14.4" x14ac:dyDescent="0.3">
      <c r="A25" s="44">
        <v>17</v>
      </c>
      <c r="B25" s="45" t="s">
        <v>51</v>
      </c>
      <c r="C25" s="46" t="s">
        <v>52</v>
      </c>
      <c r="D25" s="47" t="s">
        <v>63</v>
      </c>
      <c r="E25" s="48">
        <v>46599</v>
      </c>
      <c r="F25" s="49">
        <v>160.94999999999999</v>
      </c>
      <c r="G25" s="45" t="s">
        <v>18</v>
      </c>
      <c r="H25" s="50">
        <v>0</v>
      </c>
      <c r="I25" s="49">
        <f>tablet[[#This Row],[qtySaldoAwalSem1]]*tablet[[#This Row],[hargaSatuan]]</f>
        <v>0</v>
      </c>
      <c r="J25" s="50">
        <v>8700</v>
      </c>
      <c r="K25" s="51">
        <f>tablet[[#This Row],[qtyTerima2025]]*tablet[[#This Row],[hargaSatuan]]</f>
        <v>1400265</v>
      </c>
      <c r="L25" s="50">
        <v>8000</v>
      </c>
      <c r="M25" s="51">
        <f>tablet[[#This Row],[qtyDist2025]]*tablet[[#This Row],[hargaSatuan]]</f>
        <v>1287600</v>
      </c>
      <c r="N25" s="50">
        <v>0</v>
      </c>
      <c r="O25" s="51">
        <f>tablet[[#This Row],[qtyEd2025]]*tablet[[#This Row],[hargaSatuan]]</f>
        <v>0</v>
      </c>
      <c r="P25" s="50">
        <v>700</v>
      </c>
      <c r="Q25" s="52">
        <f>tablet[[#This Row],[qtySaldoAkhir2025]]*tablet[[#This Row],[hargaSatuan]]</f>
        <v>112664.99999999999</v>
      </c>
      <c r="S25" s="32">
        <f t="shared" si="0"/>
        <v>112665</v>
      </c>
      <c r="T25" s="32">
        <f t="shared" si="1"/>
        <v>-1.4551915228366852E-11</v>
      </c>
    </row>
    <row r="26" spans="1:23" ht="14.4" x14ac:dyDescent="0.3">
      <c r="A26" s="44">
        <v>18</v>
      </c>
      <c r="B26" s="45" t="s">
        <v>64</v>
      </c>
      <c r="C26" s="46" t="s">
        <v>52</v>
      </c>
      <c r="D26" s="47" t="s">
        <v>65</v>
      </c>
      <c r="E26" s="48">
        <v>46599</v>
      </c>
      <c r="F26" s="49">
        <v>371.85</v>
      </c>
      <c r="G26" s="45" t="s">
        <v>18</v>
      </c>
      <c r="H26" s="50">
        <v>0</v>
      </c>
      <c r="I26" s="49">
        <f>tablet[[#This Row],[qtySaldoAwalSem1]]*tablet[[#This Row],[hargaSatuan]]</f>
        <v>0</v>
      </c>
      <c r="J26" s="50">
        <v>30300</v>
      </c>
      <c r="K26" s="51">
        <f>tablet[[#This Row],[qtyTerima2025]]*tablet[[#This Row],[hargaSatuan]]</f>
        <v>11267055</v>
      </c>
      <c r="L26" s="50">
        <v>0</v>
      </c>
      <c r="M26" s="51">
        <f>tablet[[#This Row],[qtyDist2025]]*tablet[[#This Row],[hargaSatuan]]</f>
        <v>0</v>
      </c>
      <c r="N26" s="50">
        <v>0</v>
      </c>
      <c r="O26" s="51">
        <f>tablet[[#This Row],[qtyEd2025]]*tablet[[#This Row],[hargaSatuan]]</f>
        <v>0</v>
      </c>
      <c r="P26" s="50">
        <v>30300</v>
      </c>
      <c r="Q26" s="52">
        <f>tablet[[#This Row],[qtySaldoAkhir2025]]*tablet[[#This Row],[hargaSatuan]]</f>
        <v>11267055</v>
      </c>
      <c r="S26" s="32">
        <f t="shared" si="0"/>
        <v>11267055</v>
      </c>
      <c r="T26" s="32">
        <f t="shared" si="1"/>
        <v>0</v>
      </c>
      <c r="W26" s="3" t="s">
        <v>66</v>
      </c>
    </row>
    <row r="27" spans="1:23" ht="14.4" x14ac:dyDescent="0.3">
      <c r="A27" s="44">
        <v>19</v>
      </c>
      <c r="B27" s="45" t="s">
        <v>67</v>
      </c>
      <c r="C27" s="46" t="s">
        <v>52</v>
      </c>
      <c r="D27" s="47">
        <v>24708408</v>
      </c>
      <c r="E27" s="48">
        <v>46600</v>
      </c>
      <c r="F27" s="49">
        <v>225</v>
      </c>
      <c r="G27" s="45" t="s">
        <v>40</v>
      </c>
      <c r="H27" s="50">
        <v>0</v>
      </c>
      <c r="I27" s="49">
        <f>tablet[[#This Row],[qtySaldoAwalSem1]]*tablet[[#This Row],[hargaSatuan]]</f>
        <v>0</v>
      </c>
      <c r="J27" s="50">
        <v>4000</v>
      </c>
      <c r="K27" s="51">
        <f>tablet[[#This Row],[qtyTerima2025]]*tablet[[#This Row],[hargaSatuan]]</f>
        <v>900000</v>
      </c>
      <c r="L27" s="50">
        <v>4000</v>
      </c>
      <c r="M27" s="51">
        <f>tablet[[#This Row],[qtyDist2025]]*tablet[[#This Row],[hargaSatuan]]</f>
        <v>900000</v>
      </c>
      <c r="N27" s="50">
        <v>0</v>
      </c>
      <c r="O27" s="51">
        <f>tablet[[#This Row],[qtyEd2025]]*tablet[[#This Row],[hargaSatuan]]</f>
        <v>0</v>
      </c>
      <c r="P27" s="50">
        <v>0</v>
      </c>
      <c r="Q27" s="52">
        <f>tablet[[#This Row],[qtySaldoAkhir2025]]*tablet[[#This Row],[hargaSatuan]]</f>
        <v>0</v>
      </c>
      <c r="S27" s="32">
        <f t="shared" si="0"/>
        <v>0</v>
      </c>
      <c r="T27" s="32">
        <f t="shared" si="1"/>
        <v>0</v>
      </c>
    </row>
    <row r="28" spans="1:23" ht="14.4" x14ac:dyDescent="0.3">
      <c r="A28" s="44">
        <v>20</v>
      </c>
      <c r="B28" s="45" t="s">
        <v>67</v>
      </c>
      <c r="C28" s="46" t="s">
        <v>52</v>
      </c>
      <c r="D28" s="47" t="s">
        <v>68</v>
      </c>
      <c r="E28" s="48">
        <v>46874</v>
      </c>
      <c r="F28" s="49">
        <v>179</v>
      </c>
      <c r="G28" s="45" t="s">
        <v>18</v>
      </c>
      <c r="H28" s="50">
        <v>0</v>
      </c>
      <c r="I28" s="49">
        <f>tablet[[#This Row],[qtySaldoAwalSem1]]*tablet[[#This Row],[hargaSatuan]]</f>
        <v>0</v>
      </c>
      <c r="J28" s="50">
        <v>87000</v>
      </c>
      <c r="K28" s="51">
        <f>tablet[[#This Row],[qtyTerima2025]]*tablet[[#This Row],[hargaSatuan]]</f>
        <v>15573000</v>
      </c>
      <c r="L28" s="50">
        <v>87000</v>
      </c>
      <c r="M28" s="51">
        <f>tablet[[#This Row],[qtyDist2025]]*tablet[[#This Row],[hargaSatuan]]</f>
        <v>15573000</v>
      </c>
      <c r="N28" s="50">
        <v>0</v>
      </c>
      <c r="O28" s="51">
        <f>tablet[[#This Row],[qtyEd2025]]*tablet[[#This Row],[hargaSatuan]]</f>
        <v>0</v>
      </c>
      <c r="P28" s="50">
        <v>0</v>
      </c>
      <c r="Q28" s="52">
        <f>tablet[[#This Row],[qtySaldoAkhir2025]]*tablet[[#This Row],[hargaSatuan]]</f>
        <v>0</v>
      </c>
      <c r="S28" s="32">
        <f t="shared" si="0"/>
        <v>0</v>
      </c>
      <c r="T28" s="32">
        <f t="shared" si="1"/>
        <v>0</v>
      </c>
      <c r="W28" s="3" t="s">
        <v>69</v>
      </c>
    </row>
    <row r="29" spans="1:23" ht="14.4" x14ac:dyDescent="0.3">
      <c r="A29" s="44">
        <v>21</v>
      </c>
      <c r="B29" s="45" t="s">
        <v>70</v>
      </c>
      <c r="C29" s="46" t="s">
        <v>52</v>
      </c>
      <c r="D29" s="47" t="s">
        <v>71</v>
      </c>
      <c r="E29" s="48">
        <v>46266</v>
      </c>
      <c r="F29" s="49">
        <v>158</v>
      </c>
      <c r="G29" s="45" t="s">
        <v>40</v>
      </c>
      <c r="H29" s="50">
        <v>500</v>
      </c>
      <c r="I29" s="49">
        <f>tablet[[#This Row],[qtySaldoAwalSem1]]*tablet[[#This Row],[hargaSatuan]]</f>
        <v>79000</v>
      </c>
      <c r="J29" s="50">
        <v>0</v>
      </c>
      <c r="K29" s="51">
        <f>tablet[[#This Row],[qtyTerima2025]]*tablet[[#This Row],[hargaSatuan]]</f>
        <v>0</v>
      </c>
      <c r="L29" s="50">
        <v>500</v>
      </c>
      <c r="M29" s="51">
        <f>tablet[[#This Row],[qtyDist2025]]*tablet[[#This Row],[hargaSatuan]]</f>
        <v>79000</v>
      </c>
      <c r="N29" s="50">
        <v>0</v>
      </c>
      <c r="O29" s="51">
        <f>tablet[[#This Row],[qtyEd2025]]*tablet[[#This Row],[hargaSatuan]]</f>
        <v>0</v>
      </c>
      <c r="P29" s="50">
        <v>0</v>
      </c>
      <c r="Q29" s="52">
        <f>tablet[[#This Row],[qtySaldoAkhir2025]]*tablet[[#This Row],[hargaSatuan]]</f>
        <v>0</v>
      </c>
      <c r="S29" s="32">
        <f t="shared" si="0"/>
        <v>0</v>
      </c>
      <c r="T29" s="32">
        <f t="shared" si="1"/>
        <v>0</v>
      </c>
    </row>
    <row r="30" spans="1:23" ht="14.4" x14ac:dyDescent="0.3">
      <c r="A30" s="44">
        <v>22</v>
      </c>
      <c r="B30" s="45" t="s">
        <v>70</v>
      </c>
      <c r="C30" s="46" t="s">
        <v>52</v>
      </c>
      <c r="D30" s="47" t="s">
        <v>71</v>
      </c>
      <c r="E30" s="48">
        <v>46286</v>
      </c>
      <c r="F30" s="49">
        <v>197</v>
      </c>
      <c r="G30" s="45" t="s">
        <v>40</v>
      </c>
      <c r="H30" s="50">
        <v>0</v>
      </c>
      <c r="I30" s="49">
        <f>tablet[[#This Row],[qtySaldoAwalSem1]]*tablet[[#This Row],[hargaSatuan]]</f>
        <v>0</v>
      </c>
      <c r="J30" s="50">
        <v>2000</v>
      </c>
      <c r="K30" s="51">
        <f>tablet[[#This Row],[qtyTerima2025]]*tablet[[#This Row],[hargaSatuan]]</f>
        <v>394000</v>
      </c>
      <c r="L30" s="50">
        <v>0</v>
      </c>
      <c r="M30" s="51">
        <f>tablet[[#This Row],[qtyDist2025]]*tablet[[#This Row],[hargaSatuan]]</f>
        <v>0</v>
      </c>
      <c r="N30" s="50">
        <v>0</v>
      </c>
      <c r="O30" s="51">
        <f>tablet[[#This Row],[qtyEd2025]]*tablet[[#This Row],[hargaSatuan]]</f>
        <v>0</v>
      </c>
      <c r="P30" s="50">
        <v>2000</v>
      </c>
      <c r="Q30" s="52">
        <f>tablet[[#This Row],[qtySaldoAkhir2025]]*tablet[[#This Row],[hargaSatuan]]</f>
        <v>394000</v>
      </c>
      <c r="S30" s="32">
        <f t="shared" si="0"/>
        <v>394000</v>
      </c>
      <c r="T30" s="32">
        <f t="shared" si="1"/>
        <v>0</v>
      </c>
    </row>
    <row r="31" spans="1:23" ht="14.4" x14ac:dyDescent="0.3">
      <c r="A31" s="44">
        <v>23</v>
      </c>
      <c r="B31" s="45" t="s">
        <v>70</v>
      </c>
      <c r="C31" s="46" t="s">
        <v>52</v>
      </c>
      <c r="D31" s="47" t="s">
        <v>72</v>
      </c>
      <c r="E31" s="48">
        <v>46082</v>
      </c>
      <c r="F31" s="49">
        <v>210</v>
      </c>
      <c r="G31" s="45" t="s">
        <v>54</v>
      </c>
      <c r="H31" s="50">
        <v>2700</v>
      </c>
      <c r="I31" s="49">
        <f>tablet[[#This Row],[qtySaldoAwalSem1]]*tablet[[#This Row],[hargaSatuan]]</f>
        <v>567000</v>
      </c>
      <c r="J31" s="50">
        <v>0</v>
      </c>
      <c r="K31" s="51">
        <f>tablet[[#This Row],[qtyTerima2025]]*tablet[[#This Row],[hargaSatuan]]</f>
        <v>0</v>
      </c>
      <c r="L31" s="50">
        <v>2700</v>
      </c>
      <c r="M31" s="51">
        <f>tablet[[#This Row],[qtyDist2025]]*tablet[[#This Row],[hargaSatuan]]</f>
        <v>567000</v>
      </c>
      <c r="N31" s="50">
        <v>0</v>
      </c>
      <c r="O31" s="51">
        <f>tablet[[#This Row],[qtyEd2025]]*tablet[[#This Row],[hargaSatuan]]</f>
        <v>0</v>
      </c>
      <c r="P31" s="50">
        <v>0</v>
      </c>
      <c r="Q31" s="52">
        <f>tablet[[#This Row],[qtySaldoAkhir2025]]*tablet[[#This Row],[hargaSatuan]]</f>
        <v>0</v>
      </c>
      <c r="S31" s="32">
        <f t="shared" si="0"/>
        <v>0</v>
      </c>
      <c r="T31" s="32">
        <f t="shared" si="1"/>
        <v>0</v>
      </c>
    </row>
    <row r="32" spans="1:23" ht="14.4" x14ac:dyDescent="0.3">
      <c r="A32" s="44">
        <v>24</v>
      </c>
      <c r="B32" s="45" t="s">
        <v>73</v>
      </c>
      <c r="C32" s="46" t="s">
        <v>52</v>
      </c>
      <c r="D32" s="47" t="s">
        <v>74</v>
      </c>
      <c r="E32" s="48">
        <v>46538</v>
      </c>
      <c r="F32" s="49">
        <v>540</v>
      </c>
      <c r="G32" s="45" t="s">
        <v>36</v>
      </c>
      <c r="H32" s="50">
        <v>0</v>
      </c>
      <c r="I32" s="49">
        <f>tablet[[#This Row],[qtySaldoAwalSem1]]*tablet[[#This Row],[hargaSatuan]]</f>
        <v>0</v>
      </c>
      <c r="J32" s="50">
        <v>183600</v>
      </c>
      <c r="K32" s="51">
        <f>tablet[[#This Row],[qtyTerima2025]]*tablet[[#This Row],[hargaSatuan]]</f>
        <v>99144000</v>
      </c>
      <c r="L32" s="50">
        <v>183600</v>
      </c>
      <c r="M32" s="51">
        <f>tablet[[#This Row],[qtyDist2025]]*tablet[[#This Row],[hargaSatuan]]</f>
        <v>99144000</v>
      </c>
      <c r="N32" s="50">
        <v>0</v>
      </c>
      <c r="O32" s="51">
        <f>tablet[[#This Row],[qtyEd2025]]*tablet[[#This Row],[hargaSatuan]]</f>
        <v>0</v>
      </c>
      <c r="P32" s="50">
        <v>0</v>
      </c>
      <c r="Q32" s="52">
        <f>tablet[[#This Row],[qtySaldoAkhir2025]]*tablet[[#This Row],[hargaSatuan]]</f>
        <v>0</v>
      </c>
      <c r="S32" s="32">
        <f t="shared" si="0"/>
        <v>0</v>
      </c>
      <c r="T32" s="32">
        <f t="shared" si="1"/>
        <v>0</v>
      </c>
    </row>
    <row r="33" spans="1:20" ht="14.4" x14ac:dyDescent="0.3">
      <c r="A33" s="44">
        <v>25</v>
      </c>
      <c r="B33" s="45" t="s">
        <v>73</v>
      </c>
      <c r="C33" s="46" t="s">
        <v>52</v>
      </c>
      <c r="D33" s="47" t="s">
        <v>75</v>
      </c>
      <c r="E33" s="48">
        <v>46538</v>
      </c>
      <c r="F33" s="49">
        <v>540</v>
      </c>
      <c r="G33" s="45" t="s">
        <v>36</v>
      </c>
      <c r="H33" s="50">
        <v>0</v>
      </c>
      <c r="I33" s="49">
        <f>tablet[[#This Row],[qtySaldoAwalSem1]]*tablet[[#This Row],[hargaSatuan]]</f>
        <v>0</v>
      </c>
      <c r="J33" s="50">
        <v>116400</v>
      </c>
      <c r="K33" s="51">
        <f>tablet[[#This Row],[qtyTerima2025]]*tablet[[#This Row],[hargaSatuan]]</f>
        <v>62856000</v>
      </c>
      <c r="L33" s="50">
        <v>116400</v>
      </c>
      <c r="M33" s="51">
        <f>tablet[[#This Row],[qtyDist2025]]*tablet[[#This Row],[hargaSatuan]]</f>
        <v>62856000</v>
      </c>
      <c r="N33" s="50">
        <v>0</v>
      </c>
      <c r="O33" s="51">
        <f>tablet[[#This Row],[qtyEd2025]]*tablet[[#This Row],[hargaSatuan]]</f>
        <v>0</v>
      </c>
      <c r="P33" s="50">
        <v>0</v>
      </c>
      <c r="Q33" s="52">
        <f>tablet[[#This Row],[qtySaldoAkhir2025]]*tablet[[#This Row],[hargaSatuan]]</f>
        <v>0</v>
      </c>
      <c r="S33" s="32">
        <f t="shared" si="0"/>
        <v>0</v>
      </c>
      <c r="T33" s="32">
        <f t="shared" si="1"/>
        <v>0</v>
      </c>
    </row>
    <row r="34" spans="1:20" ht="14.4" x14ac:dyDescent="0.3">
      <c r="A34" s="44">
        <v>26</v>
      </c>
      <c r="B34" s="45" t="s">
        <v>73</v>
      </c>
      <c r="C34" s="46" t="s">
        <v>52</v>
      </c>
      <c r="D34" s="47" t="s">
        <v>76</v>
      </c>
      <c r="E34" s="48">
        <v>46595</v>
      </c>
      <c r="F34" s="49">
        <v>95</v>
      </c>
      <c r="G34" s="45" t="s">
        <v>41</v>
      </c>
      <c r="H34" s="50">
        <v>0</v>
      </c>
      <c r="I34" s="49">
        <f>tablet[[#This Row],[qtySaldoAwalSem1]]*tablet[[#This Row],[hargaSatuan]]</f>
        <v>0</v>
      </c>
      <c r="J34" s="50">
        <v>100000</v>
      </c>
      <c r="K34" s="51">
        <f>tablet[[#This Row],[qtyTerima2025]]*tablet[[#This Row],[hargaSatuan]]</f>
        <v>9500000</v>
      </c>
      <c r="L34" s="50">
        <v>100000</v>
      </c>
      <c r="M34" s="51">
        <f>tablet[[#This Row],[qtyDist2025]]*tablet[[#This Row],[hargaSatuan]]</f>
        <v>9500000</v>
      </c>
      <c r="N34" s="50">
        <v>0</v>
      </c>
      <c r="O34" s="51">
        <f>tablet[[#This Row],[qtyEd2025]]*tablet[[#This Row],[hargaSatuan]]</f>
        <v>0</v>
      </c>
      <c r="P34" s="50">
        <v>0</v>
      </c>
      <c r="Q34" s="52">
        <f>tablet[[#This Row],[qtySaldoAkhir2025]]*tablet[[#This Row],[hargaSatuan]]</f>
        <v>0</v>
      </c>
      <c r="S34" s="32">
        <f t="shared" si="0"/>
        <v>0</v>
      </c>
      <c r="T34" s="32">
        <f t="shared" si="1"/>
        <v>0</v>
      </c>
    </row>
    <row r="35" spans="1:20" ht="14.4" x14ac:dyDescent="0.3">
      <c r="A35" s="44">
        <v>27</v>
      </c>
      <c r="B35" s="45" t="s">
        <v>73</v>
      </c>
      <c r="C35" s="46" t="s">
        <v>52</v>
      </c>
      <c r="D35" s="47" t="s">
        <v>77</v>
      </c>
      <c r="E35" s="48">
        <v>46595</v>
      </c>
      <c r="F35" s="49">
        <v>95</v>
      </c>
      <c r="G35" s="45" t="s">
        <v>41</v>
      </c>
      <c r="H35" s="50">
        <v>0</v>
      </c>
      <c r="I35" s="49">
        <f>tablet[[#This Row],[qtySaldoAwalSem1]]*tablet[[#This Row],[hargaSatuan]]</f>
        <v>0</v>
      </c>
      <c r="J35" s="50">
        <v>400000</v>
      </c>
      <c r="K35" s="51">
        <f>tablet[[#This Row],[qtyTerima2025]]*tablet[[#This Row],[hargaSatuan]]</f>
        <v>38000000</v>
      </c>
      <c r="L35" s="50">
        <v>386000</v>
      </c>
      <c r="M35" s="51">
        <f>tablet[[#This Row],[qtyDist2025]]*tablet[[#This Row],[hargaSatuan]]</f>
        <v>36670000</v>
      </c>
      <c r="N35" s="50">
        <v>0</v>
      </c>
      <c r="O35" s="51">
        <f>tablet[[#This Row],[qtyEd2025]]*tablet[[#This Row],[hargaSatuan]]</f>
        <v>0</v>
      </c>
      <c r="P35" s="50">
        <v>14000</v>
      </c>
      <c r="Q35" s="52">
        <f>tablet[[#This Row],[qtySaldoAkhir2025]]*tablet[[#This Row],[hargaSatuan]]</f>
        <v>1330000</v>
      </c>
      <c r="S35" s="32">
        <f t="shared" si="0"/>
        <v>1330000</v>
      </c>
      <c r="T35" s="32">
        <f t="shared" si="1"/>
        <v>0</v>
      </c>
    </row>
    <row r="36" spans="1:20" ht="14.4" x14ac:dyDescent="0.3">
      <c r="A36" s="44">
        <v>28</v>
      </c>
      <c r="B36" s="45" t="s">
        <v>78</v>
      </c>
      <c r="C36" s="46" t="s">
        <v>52</v>
      </c>
      <c r="D36" s="47" t="s">
        <v>79</v>
      </c>
      <c r="E36" s="48">
        <v>45839</v>
      </c>
      <c r="F36" s="49">
        <v>70</v>
      </c>
      <c r="G36" s="45" t="s">
        <v>43</v>
      </c>
      <c r="H36" s="50">
        <v>300</v>
      </c>
      <c r="I36" s="49">
        <f>tablet[[#This Row],[qtySaldoAwalSem1]]*tablet[[#This Row],[hargaSatuan]]</f>
        <v>21000</v>
      </c>
      <c r="J36" s="50">
        <v>0</v>
      </c>
      <c r="K36" s="51">
        <f>tablet[[#This Row],[qtyTerima2025]]*tablet[[#This Row],[hargaSatuan]]</f>
        <v>0</v>
      </c>
      <c r="L36" s="50">
        <v>300</v>
      </c>
      <c r="M36" s="51">
        <f>tablet[[#This Row],[qtyDist2025]]*tablet[[#This Row],[hargaSatuan]]</f>
        <v>21000</v>
      </c>
      <c r="N36" s="50">
        <v>0</v>
      </c>
      <c r="O36" s="51">
        <f>tablet[[#This Row],[qtyEd2025]]*tablet[[#This Row],[hargaSatuan]]</f>
        <v>0</v>
      </c>
      <c r="P36" s="50">
        <v>0</v>
      </c>
      <c r="Q36" s="52">
        <f>tablet[[#This Row],[qtySaldoAkhir2025]]*tablet[[#This Row],[hargaSatuan]]</f>
        <v>0</v>
      </c>
      <c r="S36" s="32">
        <f t="shared" si="0"/>
        <v>0</v>
      </c>
      <c r="T36" s="32">
        <f t="shared" si="1"/>
        <v>0</v>
      </c>
    </row>
    <row r="37" spans="1:20" ht="14.4" x14ac:dyDescent="0.3">
      <c r="A37" s="44">
        <v>29</v>
      </c>
      <c r="B37" s="45" t="s">
        <v>78</v>
      </c>
      <c r="C37" s="46" t="s">
        <v>52</v>
      </c>
      <c r="D37" s="47">
        <v>40524</v>
      </c>
      <c r="E37" s="48">
        <v>46113</v>
      </c>
      <c r="F37" s="49">
        <v>87</v>
      </c>
      <c r="G37" s="45" t="s">
        <v>54</v>
      </c>
      <c r="H37" s="50">
        <v>131900</v>
      </c>
      <c r="I37" s="49">
        <f>tablet[[#This Row],[qtySaldoAwalSem1]]*tablet[[#This Row],[hargaSatuan]]</f>
        <v>11475300</v>
      </c>
      <c r="J37" s="50">
        <v>0</v>
      </c>
      <c r="K37" s="51">
        <f>tablet[[#This Row],[qtyTerima2025]]*tablet[[#This Row],[hargaSatuan]]</f>
        <v>0</v>
      </c>
      <c r="L37" s="50">
        <v>131900</v>
      </c>
      <c r="M37" s="51">
        <f>tablet[[#This Row],[qtyDist2025]]*tablet[[#This Row],[hargaSatuan]]</f>
        <v>11475300</v>
      </c>
      <c r="N37" s="50">
        <v>0</v>
      </c>
      <c r="O37" s="51">
        <f>tablet[[#This Row],[qtyEd2025]]*tablet[[#This Row],[hargaSatuan]]</f>
        <v>0</v>
      </c>
      <c r="P37" s="50">
        <v>0</v>
      </c>
      <c r="Q37" s="52">
        <f>tablet[[#This Row],[qtySaldoAkhir2025]]*tablet[[#This Row],[hargaSatuan]]</f>
        <v>0</v>
      </c>
      <c r="S37" s="32">
        <f t="shared" si="0"/>
        <v>0</v>
      </c>
      <c r="T37" s="32">
        <f t="shared" si="1"/>
        <v>0</v>
      </c>
    </row>
    <row r="38" spans="1:20" ht="14.4" x14ac:dyDescent="0.3">
      <c r="A38" s="44">
        <v>30</v>
      </c>
      <c r="B38" s="45" t="s">
        <v>78</v>
      </c>
      <c r="C38" s="46" t="s">
        <v>52</v>
      </c>
      <c r="D38" s="47" t="s">
        <v>80</v>
      </c>
      <c r="E38" s="48">
        <v>46403</v>
      </c>
      <c r="F38" s="49">
        <v>138</v>
      </c>
      <c r="G38" s="45" t="s">
        <v>36</v>
      </c>
      <c r="H38" s="50">
        <v>0</v>
      </c>
      <c r="I38" s="49">
        <f>tablet[[#This Row],[qtySaldoAwalSem1]]*tablet[[#This Row],[hargaSatuan]]</f>
        <v>0</v>
      </c>
      <c r="J38" s="50">
        <v>161500</v>
      </c>
      <c r="K38" s="51">
        <f>tablet[[#This Row],[qtyTerima2025]]*tablet[[#This Row],[hargaSatuan]]</f>
        <v>22287000</v>
      </c>
      <c r="L38" s="50">
        <v>161500</v>
      </c>
      <c r="M38" s="51">
        <f>tablet[[#This Row],[qtyDist2025]]*tablet[[#This Row],[hargaSatuan]]</f>
        <v>22287000</v>
      </c>
      <c r="N38" s="50">
        <v>0</v>
      </c>
      <c r="O38" s="51">
        <f>tablet[[#This Row],[qtyEd2025]]*tablet[[#This Row],[hargaSatuan]]</f>
        <v>0</v>
      </c>
      <c r="P38" s="50">
        <v>0</v>
      </c>
      <c r="Q38" s="52">
        <f>tablet[[#This Row],[qtySaldoAkhir2025]]*tablet[[#This Row],[hargaSatuan]]</f>
        <v>0</v>
      </c>
      <c r="S38" s="32">
        <f t="shared" si="0"/>
        <v>0</v>
      </c>
      <c r="T38" s="32">
        <f t="shared" si="1"/>
        <v>0</v>
      </c>
    </row>
    <row r="39" spans="1:20" ht="14.4" x14ac:dyDescent="0.3">
      <c r="A39" s="44">
        <v>31</v>
      </c>
      <c r="B39" s="45" t="s">
        <v>78</v>
      </c>
      <c r="C39" s="46" t="s">
        <v>52</v>
      </c>
      <c r="D39" s="47" t="s">
        <v>81</v>
      </c>
      <c r="E39" s="48">
        <v>46498</v>
      </c>
      <c r="F39" s="49">
        <v>138</v>
      </c>
      <c r="G39" s="45" t="s">
        <v>36</v>
      </c>
      <c r="H39" s="50">
        <v>0</v>
      </c>
      <c r="I39" s="49">
        <f>tablet[[#This Row],[qtySaldoAwalSem1]]*tablet[[#This Row],[hargaSatuan]]</f>
        <v>0</v>
      </c>
      <c r="J39" s="50">
        <v>438500</v>
      </c>
      <c r="K39" s="51">
        <f>tablet[[#This Row],[qtyTerima2025]]*tablet[[#This Row],[hargaSatuan]]</f>
        <v>60513000</v>
      </c>
      <c r="L39" s="50">
        <v>406300</v>
      </c>
      <c r="M39" s="51">
        <f>tablet[[#This Row],[qtyDist2025]]*tablet[[#This Row],[hargaSatuan]]</f>
        <v>56069400</v>
      </c>
      <c r="N39" s="50">
        <v>0</v>
      </c>
      <c r="O39" s="51">
        <f>tablet[[#This Row],[qtyEd2025]]*tablet[[#This Row],[hargaSatuan]]</f>
        <v>0</v>
      </c>
      <c r="P39" s="50">
        <v>32200</v>
      </c>
      <c r="Q39" s="52">
        <f>tablet[[#This Row],[qtySaldoAkhir2025]]*tablet[[#This Row],[hargaSatuan]]</f>
        <v>4443600</v>
      </c>
      <c r="S39" s="32">
        <f t="shared" si="0"/>
        <v>4443600</v>
      </c>
      <c r="T39" s="32">
        <f t="shared" si="1"/>
        <v>0</v>
      </c>
    </row>
    <row r="40" spans="1:20" ht="14.4" x14ac:dyDescent="0.3">
      <c r="A40" s="44">
        <v>32</v>
      </c>
      <c r="B40" s="45" t="s">
        <v>82</v>
      </c>
      <c r="C40" s="46" t="s">
        <v>52</v>
      </c>
      <c r="D40" s="47" t="s">
        <v>83</v>
      </c>
      <c r="E40" s="48">
        <v>46082</v>
      </c>
      <c r="F40" s="49">
        <v>401</v>
      </c>
      <c r="G40" s="45" t="s">
        <v>54</v>
      </c>
      <c r="H40" s="50">
        <v>72700</v>
      </c>
      <c r="I40" s="49">
        <f>tablet[[#This Row],[qtySaldoAwalSem1]]*tablet[[#This Row],[hargaSatuan]]</f>
        <v>29152700</v>
      </c>
      <c r="J40" s="50">
        <v>0</v>
      </c>
      <c r="K40" s="51">
        <f>tablet[[#This Row],[qtyTerima2025]]*tablet[[#This Row],[hargaSatuan]]</f>
        <v>0</v>
      </c>
      <c r="L40" s="50">
        <v>19100</v>
      </c>
      <c r="M40" s="51">
        <f>tablet[[#This Row],[qtyDist2025]]*tablet[[#This Row],[hargaSatuan]]</f>
        <v>7659100</v>
      </c>
      <c r="N40" s="50">
        <v>0</v>
      </c>
      <c r="O40" s="51">
        <f>tablet[[#This Row],[qtyEd2025]]*tablet[[#This Row],[hargaSatuan]]</f>
        <v>0</v>
      </c>
      <c r="P40" s="50">
        <v>53600</v>
      </c>
      <c r="Q40" s="52">
        <f>tablet[[#This Row],[qtySaldoAkhir2025]]*tablet[[#This Row],[hargaSatuan]]</f>
        <v>21493600</v>
      </c>
      <c r="S40" s="32">
        <f t="shared" si="0"/>
        <v>21493600</v>
      </c>
      <c r="T40" s="32">
        <f t="shared" si="1"/>
        <v>0</v>
      </c>
    </row>
    <row r="41" spans="1:20" ht="14.4" x14ac:dyDescent="0.3">
      <c r="A41" s="44">
        <v>33</v>
      </c>
      <c r="B41" s="45" t="s">
        <v>84</v>
      </c>
      <c r="C41" s="46" t="s">
        <v>52</v>
      </c>
      <c r="D41" s="47" t="s">
        <v>85</v>
      </c>
      <c r="E41" s="48">
        <v>46600</v>
      </c>
      <c r="F41" s="49">
        <v>494</v>
      </c>
      <c r="G41" s="45" t="s">
        <v>43</v>
      </c>
      <c r="H41" s="50">
        <v>8900</v>
      </c>
      <c r="I41" s="49">
        <f>tablet[[#This Row],[qtySaldoAwalSem1]]*tablet[[#This Row],[hargaSatuan]]</f>
        <v>4396600</v>
      </c>
      <c r="J41" s="50">
        <v>0</v>
      </c>
      <c r="K41" s="51">
        <f>tablet[[#This Row],[qtyTerima2025]]*tablet[[#This Row],[hargaSatuan]]</f>
        <v>0</v>
      </c>
      <c r="L41" s="50">
        <v>8900</v>
      </c>
      <c r="M41" s="51">
        <f>tablet[[#This Row],[qtyDist2025]]*tablet[[#This Row],[hargaSatuan]]</f>
        <v>4396600</v>
      </c>
      <c r="N41" s="50">
        <v>0</v>
      </c>
      <c r="O41" s="51">
        <f>tablet[[#This Row],[qtyEd2025]]*tablet[[#This Row],[hargaSatuan]]</f>
        <v>0</v>
      </c>
      <c r="P41" s="50">
        <v>0</v>
      </c>
      <c r="Q41" s="52">
        <f>tablet[[#This Row],[qtySaldoAkhir2025]]*tablet[[#This Row],[hargaSatuan]]</f>
        <v>0</v>
      </c>
      <c r="S41" s="32">
        <f t="shared" si="0"/>
        <v>0</v>
      </c>
      <c r="T41" s="32">
        <f t="shared" si="1"/>
        <v>0</v>
      </c>
    </row>
    <row r="42" spans="1:20" ht="14.4" x14ac:dyDescent="0.3">
      <c r="A42" s="44">
        <v>34</v>
      </c>
      <c r="B42" s="45" t="s">
        <v>84</v>
      </c>
      <c r="C42" s="46" t="s">
        <v>52</v>
      </c>
      <c r="D42" s="47" t="s">
        <v>86</v>
      </c>
      <c r="E42" s="48">
        <v>47027</v>
      </c>
      <c r="F42" s="49">
        <v>670</v>
      </c>
      <c r="G42" s="45" t="s">
        <v>54</v>
      </c>
      <c r="H42" s="50">
        <v>69900</v>
      </c>
      <c r="I42" s="49">
        <f>tablet[[#This Row],[qtySaldoAwalSem1]]*tablet[[#This Row],[hargaSatuan]]</f>
        <v>46833000</v>
      </c>
      <c r="J42" s="50">
        <v>0</v>
      </c>
      <c r="K42" s="51">
        <f>tablet[[#This Row],[qtyTerima2025]]*tablet[[#This Row],[hargaSatuan]]</f>
        <v>0</v>
      </c>
      <c r="L42" s="50">
        <v>69900</v>
      </c>
      <c r="M42" s="51">
        <f>tablet[[#This Row],[qtyDist2025]]*tablet[[#This Row],[hargaSatuan]]</f>
        <v>46833000</v>
      </c>
      <c r="N42" s="50">
        <v>0</v>
      </c>
      <c r="O42" s="51">
        <f>tablet[[#This Row],[qtyEd2025]]*tablet[[#This Row],[hargaSatuan]]</f>
        <v>0</v>
      </c>
      <c r="P42" s="50">
        <v>0</v>
      </c>
      <c r="Q42" s="52">
        <f>tablet[[#This Row],[qtySaldoAkhir2025]]*tablet[[#This Row],[hargaSatuan]]</f>
        <v>0</v>
      </c>
      <c r="S42" s="32">
        <f t="shared" si="0"/>
        <v>0</v>
      </c>
      <c r="T42" s="32">
        <f t="shared" si="1"/>
        <v>0</v>
      </c>
    </row>
    <row r="43" spans="1:20" ht="14.4" x14ac:dyDescent="0.3">
      <c r="A43" s="44">
        <v>35</v>
      </c>
      <c r="B43" s="45" t="s">
        <v>84</v>
      </c>
      <c r="C43" s="46" t="s">
        <v>52</v>
      </c>
      <c r="D43" s="47" t="s">
        <v>87</v>
      </c>
      <c r="E43" s="48">
        <v>47150</v>
      </c>
      <c r="F43" s="49">
        <v>670</v>
      </c>
      <c r="G43" s="45" t="s">
        <v>54</v>
      </c>
      <c r="H43" s="50">
        <v>176100</v>
      </c>
      <c r="I43" s="49">
        <f>tablet[[#This Row],[qtySaldoAwalSem1]]*tablet[[#This Row],[hargaSatuan]]</f>
        <v>117987000</v>
      </c>
      <c r="J43" s="50">
        <v>0</v>
      </c>
      <c r="K43" s="51">
        <f>tablet[[#This Row],[qtyTerima2025]]*tablet[[#This Row],[hargaSatuan]]</f>
        <v>0</v>
      </c>
      <c r="L43" s="50">
        <v>92800</v>
      </c>
      <c r="M43" s="51">
        <f>tablet[[#This Row],[qtyDist2025]]*tablet[[#This Row],[hargaSatuan]]</f>
        <v>62176000</v>
      </c>
      <c r="N43" s="50">
        <v>0</v>
      </c>
      <c r="O43" s="51">
        <f>tablet[[#This Row],[qtyEd2025]]*tablet[[#This Row],[hargaSatuan]]</f>
        <v>0</v>
      </c>
      <c r="P43" s="50">
        <v>83300</v>
      </c>
      <c r="Q43" s="52">
        <f>tablet[[#This Row],[qtySaldoAkhir2025]]*tablet[[#This Row],[hargaSatuan]]</f>
        <v>55811000</v>
      </c>
      <c r="S43" s="32">
        <f t="shared" si="0"/>
        <v>55811000</v>
      </c>
      <c r="T43" s="32">
        <f t="shared" si="1"/>
        <v>0</v>
      </c>
    </row>
    <row r="44" spans="1:20" ht="14.4" x14ac:dyDescent="0.3">
      <c r="A44" s="44">
        <v>36</v>
      </c>
      <c r="B44" s="45" t="s">
        <v>88</v>
      </c>
      <c r="C44" s="46" t="s">
        <v>52</v>
      </c>
      <c r="D44" s="47">
        <v>1405434</v>
      </c>
      <c r="E44" s="48">
        <v>46874</v>
      </c>
      <c r="F44" s="49">
        <v>125</v>
      </c>
      <c r="G44" s="45" t="s">
        <v>54</v>
      </c>
      <c r="H44" s="50">
        <v>27100</v>
      </c>
      <c r="I44" s="49">
        <f>tablet[[#This Row],[qtySaldoAwalSem1]]*tablet[[#This Row],[hargaSatuan]]</f>
        <v>3387500</v>
      </c>
      <c r="J44" s="50">
        <v>0</v>
      </c>
      <c r="K44" s="51">
        <f>tablet[[#This Row],[qtyTerima2025]]*tablet[[#This Row],[hargaSatuan]]</f>
        <v>0</v>
      </c>
      <c r="L44" s="50">
        <v>13000</v>
      </c>
      <c r="M44" s="51">
        <f>tablet[[#This Row],[qtyDist2025]]*tablet[[#This Row],[hargaSatuan]]</f>
        <v>1625000</v>
      </c>
      <c r="N44" s="50">
        <v>0</v>
      </c>
      <c r="O44" s="51">
        <f>tablet[[#This Row],[qtyEd2025]]*tablet[[#This Row],[hargaSatuan]]</f>
        <v>0</v>
      </c>
      <c r="P44" s="50">
        <v>14100</v>
      </c>
      <c r="Q44" s="52">
        <f>tablet[[#This Row],[qtySaldoAkhir2025]]*tablet[[#This Row],[hargaSatuan]]</f>
        <v>1762500</v>
      </c>
      <c r="S44" s="32">
        <f t="shared" si="0"/>
        <v>1762500</v>
      </c>
      <c r="T44" s="32">
        <f t="shared" si="1"/>
        <v>0</v>
      </c>
    </row>
    <row r="45" spans="1:20" ht="14.4" x14ac:dyDescent="0.3">
      <c r="A45" s="44">
        <v>37</v>
      </c>
      <c r="B45" s="45" t="s">
        <v>88</v>
      </c>
      <c r="C45" s="46" t="s">
        <v>52</v>
      </c>
      <c r="D45" s="47" t="s">
        <v>89</v>
      </c>
      <c r="E45" s="48">
        <v>46539</v>
      </c>
      <c r="F45" s="49">
        <v>100</v>
      </c>
      <c r="G45" s="45" t="s">
        <v>54</v>
      </c>
      <c r="H45" s="50">
        <v>121600</v>
      </c>
      <c r="I45" s="49">
        <f>tablet[[#This Row],[qtySaldoAwalSem1]]*tablet[[#This Row],[hargaSatuan]]</f>
        <v>12160000</v>
      </c>
      <c r="J45" s="50">
        <v>0</v>
      </c>
      <c r="K45" s="51">
        <f>tablet[[#This Row],[qtyTerima2025]]*tablet[[#This Row],[hargaSatuan]]</f>
        <v>0</v>
      </c>
      <c r="L45" s="50">
        <v>121600</v>
      </c>
      <c r="M45" s="51">
        <f>tablet[[#This Row],[qtyDist2025]]*tablet[[#This Row],[hargaSatuan]]</f>
        <v>12160000</v>
      </c>
      <c r="N45" s="50">
        <v>0</v>
      </c>
      <c r="O45" s="51">
        <f>tablet[[#This Row],[qtyEd2025]]*tablet[[#This Row],[hargaSatuan]]</f>
        <v>0</v>
      </c>
      <c r="P45" s="50">
        <v>0</v>
      </c>
      <c r="Q45" s="52">
        <f>tablet[[#This Row],[qtySaldoAkhir2025]]*tablet[[#This Row],[hargaSatuan]]</f>
        <v>0</v>
      </c>
      <c r="S45" s="32">
        <f t="shared" si="0"/>
        <v>0</v>
      </c>
      <c r="T45" s="32">
        <f t="shared" si="1"/>
        <v>0</v>
      </c>
    </row>
    <row r="46" spans="1:20" ht="14.4" x14ac:dyDescent="0.3">
      <c r="A46" s="44">
        <v>38</v>
      </c>
      <c r="B46" s="45" t="s">
        <v>88</v>
      </c>
      <c r="C46" s="46" t="s">
        <v>52</v>
      </c>
      <c r="D46" s="47" t="s">
        <v>90</v>
      </c>
      <c r="E46" s="48">
        <v>46600</v>
      </c>
      <c r="F46" s="49">
        <v>100</v>
      </c>
      <c r="G46" s="45" t="s">
        <v>54</v>
      </c>
      <c r="H46" s="50">
        <v>42700</v>
      </c>
      <c r="I46" s="49">
        <f>tablet[[#This Row],[qtySaldoAwalSem1]]*tablet[[#This Row],[hargaSatuan]]</f>
        <v>4270000</v>
      </c>
      <c r="J46" s="50">
        <v>0</v>
      </c>
      <c r="K46" s="51">
        <f>tablet[[#This Row],[qtyTerima2025]]*tablet[[#This Row],[hargaSatuan]]</f>
        <v>0</v>
      </c>
      <c r="L46" s="50">
        <v>42700</v>
      </c>
      <c r="M46" s="51">
        <f>tablet[[#This Row],[qtyDist2025]]*tablet[[#This Row],[hargaSatuan]]</f>
        <v>4270000</v>
      </c>
      <c r="N46" s="50">
        <v>0</v>
      </c>
      <c r="O46" s="51">
        <f>tablet[[#This Row],[qtyEd2025]]*tablet[[#This Row],[hargaSatuan]]</f>
        <v>0</v>
      </c>
      <c r="P46" s="50">
        <v>0</v>
      </c>
      <c r="Q46" s="52">
        <f>tablet[[#This Row],[qtySaldoAkhir2025]]*tablet[[#This Row],[hargaSatuan]]</f>
        <v>0</v>
      </c>
      <c r="S46" s="32">
        <f t="shared" si="0"/>
        <v>0</v>
      </c>
      <c r="T46" s="32">
        <f t="shared" si="1"/>
        <v>0</v>
      </c>
    </row>
    <row r="47" spans="1:20" ht="14.4" x14ac:dyDescent="0.3">
      <c r="A47" s="44">
        <v>39</v>
      </c>
      <c r="B47" s="45" t="s">
        <v>91</v>
      </c>
      <c r="C47" s="46" t="s">
        <v>52</v>
      </c>
      <c r="D47" s="47" t="s">
        <v>92</v>
      </c>
      <c r="E47" s="48">
        <v>45809</v>
      </c>
      <c r="F47" s="49">
        <v>89</v>
      </c>
      <c r="G47" s="45" t="s">
        <v>54</v>
      </c>
      <c r="H47" s="50">
        <v>17</v>
      </c>
      <c r="I47" s="49">
        <f>tablet[[#This Row],[qtySaldoAwalSem1]]*tablet[[#This Row],[hargaSatuan]]</f>
        <v>1513</v>
      </c>
      <c r="J47" s="50">
        <v>0</v>
      </c>
      <c r="K47" s="51">
        <f>tablet[[#This Row],[qtyTerima2025]]*tablet[[#This Row],[hargaSatuan]]</f>
        <v>0</v>
      </c>
      <c r="L47" s="50">
        <v>0</v>
      </c>
      <c r="M47" s="51">
        <f>tablet[[#This Row],[qtyDist2025]]*tablet[[#This Row],[hargaSatuan]]</f>
        <v>0</v>
      </c>
      <c r="N47" s="50">
        <v>17</v>
      </c>
      <c r="O47" s="51">
        <f>tablet[[#This Row],[qtyEd2025]]*tablet[[#This Row],[hargaSatuan]]</f>
        <v>1513</v>
      </c>
      <c r="P47" s="50">
        <v>0</v>
      </c>
      <c r="Q47" s="52">
        <f>tablet[[#This Row],[qtySaldoAkhir2025]]*tablet[[#This Row],[hargaSatuan]]</f>
        <v>0</v>
      </c>
      <c r="S47" s="32">
        <f t="shared" si="0"/>
        <v>0</v>
      </c>
      <c r="T47" s="32">
        <f t="shared" si="1"/>
        <v>0</v>
      </c>
    </row>
    <row r="48" spans="1:20" ht="14.4" x14ac:dyDescent="0.3">
      <c r="A48" s="44">
        <v>40</v>
      </c>
      <c r="B48" s="45" t="s">
        <v>93</v>
      </c>
      <c r="C48" s="46" t="s">
        <v>52</v>
      </c>
      <c r="D48" s="47">
        <v>1406076</v>
      </c>
      <c r="E48" s="48">
        <v>46174</v>
      </c>
      <c r="F48" s="49">
        <v>149</v>
      </c>
      <c r="G48" s="45" t="s">
        <v>54</v>
      </c>
      <c r="H48" s="50">
        <v>10200</v>
      </c>
      <c r="I48" s="49">
        <f>tablet[[#This Row],[qtySaldoAwalSem1]]*tablet[[#This Row],[hargaSatuan]]</f>
        <v>1519800</v>
      </c>
      <c r="J48" s="50">
        <v>0</v>
      </c>
      <c r="K48" s="51">
        <f>tablet[[#This Row],[qtyTerima2025]]*tablet[[#This Row],[hargaSatuan]]</f>
        <v>0</v>
      </c>
      <c r="L48" s="50">
        <v>10200</v>
      </c>
      <c r="M48" s="51">
        <f>tablet[[#This Row],[qtyDist2025]]*tablet[[#This Row],[hargaSatuan]]</f>
        <v>1519800</v>
      </c>
      <c r="N48" s="50">
        <v>0</v>
      </c>
      <c r="O48" s="51">
        <f>tablet[[#This Row],[qtyEd2025]]*tablet[[#This Row],[hargaSatuan]]</f>
        <v>0</v>
      </c>
      <c r="P48" s="50">
        <v>0</v>
      </c>
      <c r="Q48" s="52">
        <f>tablet[[#This Row],[qtySaldoAkhir2025]]*tablet[[#This Row],[hargaSatuan]]</f>
        <v>0</v>
      </c>
      <c r="S48" s="32">
        <f t="shared" si="0"/>
        <v>0</v>
      </c>
      <c r="T48" s="32">
        <f t="shared" si="1"/>
        <v>0</v>
      </c>
    </row>
    <row r="49" spans="1:59" ht="14.4" x14ac:dyDescent="0.3">
      <c r="A49" s="44">
        <v>41</v>
      </c>
      <c r="B49" s="45" t="s">
        <v>94</v>
      </c>
      <c r="C49" s="46" t="s">
        <v>52</v>
      </c>
      <c r="D49" s="47" t="s">
        <v>95</v>
      </c>
      <c r="E49" s="48">
        <v>46113</v>
      </c>
      <c r="F49" s="49">
        <v>173</v>
      </c>
      <c r="G49" s="45" t="s">
        <v>54</v>
      </c>
      <c r="H49" s="50">
        <v>4800</v>
      </c>
      <c r="I49" s="49">
        <f>tablet[[#This Row],[qtySaldoAwalSem1]]*tablet[[#This Row],[hargaSatuan]]</f>
        <v>830400</v>
      </c>
      <c r="J49" s="50">
        <v>0</v>
      </c>
      <c r="K49" s="51">
        <f>tablet[[#This Row],[qtyTerima2025]]*tablet[[#This Row],[hargaSatuan]]</f>
        <v>0</v>
      </c>
      <c r="L49" s="50">
        <v>4800</v>
      </c>
      <c r="M49" s="51">
        <f>tablet[[#This Row],[qtyDist2025]]*tablet[[#This Row],[hargaSatuan]]</f>
        <v>830400</v>
      </c>
      <c r="N49" s="50">
        <v>0</v>
      </c>
      <c r="O49" s="51">
        <f>tablet[[#This Row],[qtyEd2025]]*tablet[[#This Row],[hargaSatuan]]</f>
        <v>0</v>
      </c>
      <c r="P49" s="50">
        <v>0</v>
      </c>
      <c r="Q49" s="52">
        <f>tablet[[#This Row],[qtySaldoAkhir2025]]*tablet[[#This Row],[hargaSatuan]]</f>
        <v>0</v>
      </c>
      <c r="S49" s="32">
        <f t="shared" si="0"/>
        <v>0</v>
      </c>
      <c r="T49" s="32">
        <f t="shared" si="1"/>
        <v>0</v>
      </c>
    </row>
    <row r="50" spans="1:59" ht="14.4" x14ac:dyDescent="0.3">
      <c r="A50" s="44">
        <v>42</v>
      </c>
      <c r="B50" s="45" t="s">
        <v>94</v>
      </c>
      <c r="C50" s="46" t="s">
        <v>52</v>
      </c>
      <c r="D50" s="47" t="s">
        <v>96</v>
      </c>
      <c r="E50" s="48">
        <v>46568</v>
      </c>
      <c r="F50" s="49">
        <v>173</v>
      </c>
      <c r="G50" s="45" t="s">
        <v>18</v>
      </c>
      <c r="H50" s="50">
        <v>0</v>
      </c>
      <c r="I50" s="49">
        <f>tablet[[#This Row],[qtySaldoAwalSem1]]*tablet[[#This Row],[hargaSatuan]]</f>
        <v>0</v>
      </c>
      <c r="J50" s="50">
        <v>150000</v>
      </c>
      <c r="K50" s="51">
        <f>tablet[[#This Row],[qtyTerima2025]]*tablet[[#This Row],[hargaSatuan]]</f>
        <v>25950000</v>
      </c>
      <c r="L50" s="50">
        <v>98100</v>
      </c>
      <c r="M50" s="51">
        <f>tablet[[#This Row],[qtyDist2025]]*tablet[[#This Row],[hargaSatuan]]</f>
        <v>16971300</v>
      </c>
      <c r="N50" s="50">
        <v>0</v>
      </c>
      <c r="O50" s="51">
        <f>tablet[[#This Row],[qtyEd2025]]*tablet[[#This Row],[hargaSatuan]]</f>
        <v>0</v>
      </c>
      <c r="P50" s="50">
        <v>51900</v>
      </c>
      <c r="Q50" s="52">
        <f>tablet[[#This Row],[qtySaldoAkhir2025]]*tablet[[#This Row],[hargaSatuan]]</f>
        <v>8978700</v>
      </c>
      <c r="S50" s="32">
        <f t="shared" si="0"/>
        <v>8978700</v>
      </c>
      <c r="T50" s="32">
        <f t="shared" si="1"/>
        <v>0</v>
      </c>
    </row>
    <row r="51" spans="1:59" ht="14.4" x14ac:dyDescent="0.3">
      <c r="A51" s="44">
        <v>43</v>
      </c>
      <c r="B51" s="45" t="s">
        <v>94</v>
      </c>
      <c r="C51" s="46" t="s">
        <v>52</v>
      </c>
      <c r="D51" s="47" t="s">
        <v>97</v>
      </c>
      <c r="E51" s="48">
        <v>46568</v>
      </c>
      <c r="F51" s="49">
        <v>172.05</v>
      </c>
      <c r="G51" s="45" t="s">
        <v>18</v>
      </c>
      <c r="H51" s="50">
        <v>0</v>
      </c>
      <c r="I51" s="49">
        <f>tablet[[#This Row],[qtySaldoAwalSem1]]*tablet[[#This Row],[hargaSatuan]]</f>
        <v>0</v>
      </c>
      <c r="J51" s="50">
        <v>50000</v>
      </c>
      <c r="K51" s="51">
        <f>tablet[[#This Row],[qtyTerima2025]]*tablet[[#This Row],[hargaSatuan]]</f>
        <v>8602500</v>
      </c>
      <c r="L51" s="50">
        <v>0</v>
      </c>
      <c r="M51" s="51">
        <f>tablet[[#This Row],[qtyDist2025]]*tablet[[#This Row],[hargaSatuan]]</f>
        <v>0</v>
      </c>
      <c r="N51" s="50">
        <v>0</v>
      </c>
      <c r="O51" s="51">
        <f>tablet[[#This Row],[qtyEd2025]]*tablet[[#This Row],[hargaSatuan]]</f>
        <v>0</v>
      </c>
      <c r="P51" s="50">
        <v>50000</v>
      </c>
      <c r="Q51" s="52">
        <f>tablet[[#This Row],[qtySaldoAkhir2025]]*tablet[[#This Row],[hargaSatuan]]</f>
        <v>8602500</v>
      </c>
      <c r="S51" s="32">
        <f t="shared" si="0"/>
        <v>8602500</v>
      </c>
      <c r="T51" s="32">
        <f t="shared" si="1"/>
        <v>0</v>
      </c>
    </row>
    <row r="52" spans="1:59" ht="14.4" x14ac:dyDescent="0.3">
      <c r="A52" s="44">
        <v>44</v>
      </c>
      <c r="B52" s="45" t="s">
        <v>98</v>
      </c>
      <c r="C52" s="46" t="s">
        <v>52</v>
      </c>
      <c r="D52" s="47" t="s">
        <v>99</v>
      </c>
      <c r="E52" s="48">
        <v>45809</v>
      </c>
      <c r="F52" s="49">
        <v>519</v>
      </c>
      <c r="G52" s="45" t="s">
        <v>54</v>
      </c>
      <c r="H52" s="50">
        <v>2000</v>
      </c>
      <c r="I52" s="49">
        <f>tablet[[#This Row],[qtySaldoAwalSem1]]*tablet[[#This Row],[hargaSatuan]]</f>
        <v>1038000</v>
      </c>
      <c r="J52" s="50">
        <v>0</v>
      </c>
      <c r="K52" s="51">
        <f>tablet[[#This Row],[qtyTerima2025]]*tablet[[#This Row],[hargaSatuan]]</f>
        <v>0</v>
      </c>
      <c r="L52" s="50">
        <v>1300</v>
      </c>
      <c r="M52" s="51">
        <f>tablet[[#This Row],[qtyDist2025]]*tablet[[#This Row],[hargaSatuan]]</f>
        <v>674700</v>
      </c>
      <c r="N52" s="50">
        <v>700</v>
      </c>
      <c r="O52" s="51">
        <f>tablet[[#This Row],[qtyEd2025]]*tablet[[#This Row],[hargaSatuan]]</f>
        <v>363300</v>
      </c>
      <c r="P52" s="50">
        <v>0</v>
      </c>
      <c r="Q52" s="52">
        <f>tablet[[#This Row],[qtySaldoAkhir2025]]*tablet[[#This Row],[hargaSatuan]]</f>
        <v>0</v>
      </c>
      <c r="S52" s="32">
        <f t="shared" si="0"/>
        <v>0</v>
      </c>
      <c r="T52" s="32">
        <f t="shared" si="1"/>
        <v>0</v>
      </c>
    </row>
    <row r="53" spans="1:59" ht="14.4" x14ac:dyDescent="0.3">
      <c r="A53" s="44">
        <v>45</v>
      </c>
      <c r="B53" s="45" t="s">
        <v>100</v>
      </c>
      <c r="C53" s="46" t="s">
        <v>52</v>
      </c>
      <c r="D53" s="47" t="s">
        <v>101</v>
      </c>
      <c r="E53" s="48">
        <v>45901</v>
      </c>
      <c r="F53" s="49">
        <v>600</v>
      </c>
      <c r="G53" s="45" t="s">
        <v>43</v>
      </c>
      <c r="H53" s="50">
        <v>6700</v>
      </c>
      <c r="I53" s="49">
        <f>tablet[[#This Row],[qtySaldoAwalSem1]]*tablet[[#This Row],[hargaSatuan]]</f>
        <v>4020000</v>
      </c>
      <c r="J53" s="50">
        <v>0</v>
      </c>
      <c r="K53" s="51">
        <f>tablet[[#This Row],[qtyTerima2025]]*tablet[[#This Row],[hargaSatuan]]</f>
        <v>0</v>
      </c>
      <c r="L53" s="50">
        <v>6700</v>
      </c>
      <c r="M53" s="51">
        <f>tablet[[#This Row],[qtyDist2025]]*tablet[[#This Row],[hargaSatuan]]</f>
        <v>4020000</v>
      </c>
      <c r="N53" s="50">
        <v>0</v>
      </c>
      <c r="O53" s="51">
        <f>tablet[[#This Row],[qtyEd2025]]*tablet[[#This Row],[hargaSatuan]]</f>
        <v>0</v>
      </c>
      <c r="P53" s="50">
        <v>0</v>
      </c>
      <c r="Q53" s="52">
        <f>tablet[[#This Row],[qtySaldoAkhir2025]]*tablet[[#This Row],[hargaSatuan]]</f>
        <v>0</v>
      </c>
      <c r="S53" s="32">
        <f t="shared" si="0"/>
        <v>0</v>
      </c>
      <c r="T53" s="32">
        <f t="shared" si="1"/>
        <v>0</v>
      </c>
    </row>
    <row r="54" spans="1:59" ht="14.4" x14ac:dyDescent="0.3">
      <c r="A54" s="44">
        <v>46</v>
      </c>
      <c r="B54" s="45" t="s">
        <v>100</v>
      </c>
      <c r="C54" s="46" t="s">
        <v>52</v>
      </c>
      <c r="D54" s="47" t="s">
        <v>102</v>
      </c>
      <c r="E54" s="48">
        <v>45931</v>
      </c>
      <c r="F54" s="49">
        <v>600</v>
      </c>
      <c r="G54" s="45" t="s">
        <v>54</v>
      </c>
      <c r="H54" s="50">
        <v>25000</v>
      </c>
      <c r="I54" s="49">
        <f>tablet[[#This Row],[qtySaldoAwalSem1]]*tablet[[#This Row],[hargaSatuan]]</f>
        <v>15000000</v>
      </c>
      <c r="J54" s="50">
        <v>0</v>
      </c>
      <c r="K54" s="51">
        <f>tablet[[#This Row],[qtyTerima2025]]*tablet[[#This Row],[hargaSatuan]]</f>
        <v>0</v>
      </c>
      <c r="L54" s="50">
        <v>6500</v>
      </c>
      <c r="M54" s="51">
        <f>tablet[[#This Row],[qtyDist2025]]*tablet[[#This Row],[hargaSatuan]]</f>
        <v>3900000</v>
      </c>
      <c r="N54" s="50">
        <v>18500</v>
      </c>
      <c r="O54" s="51">
        <f>tablet[[#This Row],[qtyEd2025]]*tablet[[#This Row],[hargaSatuan]]</f>
        <v>11100000</v>
      </c>
      <c r="P54" s="50">
        <v>0</v>
      </c>
      <c r="Q54" s="52">
        <f>tablet[[#This Row],[qtySaldoAkhir2025]]*tablet[[#This Row],[hargaSatuan]]</f>
        <v>0</v>
      </c>
      <c r="S54" s="32">
        <f t="shared" si="0"/>
        <v>0</v>
      </c>
      <c r="T54" s="32">
        <f t="shared" si="1"/>
        <v>0</v>
      </c>
    </row>
    <row r="55" spans="1:59" ht="14.4" x14ac:dyDescent="0.3">
      <c r="A55" s="44">
        <v>47</v>
      </c>
      <c r="B55" s="45" t="s">
        <v>100</v>
      </c>
      <c r="C55" s="46" t="s">
        <v>52</v>
      </c>
      <c r="D55" s="47" t="s">
        <v>103</v>
      </c>
      <c r="E55" s="48">
        <v>46326</v>
      </c>
      <c r="F55" s="49">
        <v>826</v>
      </c>
      <c r="G55" s="45" t="s">
        <v>43</v>
      </c>
      <c r="H55" s="50">
        <v>0</v>
      </c>
      <c r="I55" s="49">
        <f>tablet[[#This Row],[qtySaldoAwalSem1]]*tablet[[#This Row],[hargaSatuan]]</f>
        <v>0</v>
      </c>
      <c r="J55" s="50">
        <v>5700</v>
      </c>
      <c r="K55" s="51">
        <f>tablet[[#This Row],[qtyTerima2025]]*tablet[[#This Row],[hargaSatuan]]</f>
        <v>4708200</v>
      </c>
      <c r="L55" s="50">
        <v>5700</v>
      </c>
      <c r="M55" s="51">
        <f>tablet[[#This Row],[qtyDist2025]]*tablet[[#This Row],[hargaSatuan]]</f>
        <v>4708200</v>
      </c>
      <c r="N55" s="50">
        <v>0</v>
      </c>
      <c r="O55" s="51">
        <f>tablet[[#This Row],[qtyEd2025]]*tablet[[#This Row],[hargaSatuan]]</f>
        <v>0</v>
      </c>
      <c r="P55" s="50">
        <v>0</v>
      </c>
      <c r="Q55" s="52">
        <f>tablet[[#This Row],[qtySaldoAkhir2025]]*tablet[[#This Row],[hargaSatuan]]</f>
        <v>0</v>
      </c>
      <c r="S55" s="32">
        <f t="shared" si="0"/>
        <v>0</v>
      </c>
      <c r="T55" s="32">
        <f t="shared" si="1"/>
        <v>0</v>
      </c>
      <c r="W55" s="53"/>
    </row>
    <row r="56" spans="1:59" ht="14.4" x14ac:dyDescent="0.3">
      <c r="A56" s="44">
        <v>48</v>
      </c>
      <c r="B56" s="45" t="s">
        <v>104</v>
      </c>
      <c r="C56" s="46" t="s">
        <v>52</v>
      </c>
      <c r="D56" s="47" t="s">
        <v>105</v>
      </c>
      <c r="E56" s="48">
        <v>46204</v>
      </c>
      <c r="F56" s="49">
        <v>400</v>
      </c>
      <c r="G56" s="45" t="s">
        <v>54</v>
      </c>
      <c r="H56" s="50">
        <v>700</v>
      </c>
      <c r="I56" s="49">
        <f>tablet[[#This Row],[qtySaldoAwalSem1]]*tablet[[#This Row],[hargaSatuan]]</f>
        <v>280000</v>
      </c>
      <c r="J56" s="50">
        <v>0</v>
      </c>
      <c r="K56" s="51">
        <f>tablet[[#This Row],[qtyTerima2025]]*tablet[[#This Row],[hargaSatuan]]</f>
        <v>0</v>
      </c>
      <c r="L56" s="50">
        <v>700</v>
      </c>
      <c r="M56" s="51">
        <f>tablet[[#This Row],[qtyDist2025]]*tablet[[#This Row],[hargaSatuan]]</f>
        <v>280000</v>
      </c>
      <c r="N56" s="50">
        <v>0</v>
      </c>
      <c r="O56" s="51">
        <f>tablet[[#This Row],[qtyEd2025]]*tablet[[#This Row],[hargaSatuan]]</f>
        <v>0</v>
      </c>
      <c r="P56" s="50">
        <v>0</v>
      </c>
      <c r="Q56" s="52">
        <f>tablet[[#This Row],[qtySaldoAkhir2025]]*tablet[[#This Row],[hargaSatuan]]</f>
        <v>0</v>
      </c>
      <c r="S56" s="32">
        <f t="shared" si="0"/>
        <v>0</v>
      </c>
      <c r="T56" s="32">
        <f t="shared" si="1"/>
        <v>0</v>
      </c>
      <c r="W56" s="54"/>
    </row>
    <row r="57" spans="1:59" ht="14.4" x14ac:dyDescent="0.3">
      <c r="A57" s="44">
        <v>49</v>
      </c>
      <c r="B57" s="45" t="s">
        <v>104</v>
      </c>
      <c r="C57" s="46" t="s">
        <v>47</v>
      </c>
      <c r="D57" s="47">
        <v>1507254</v>
      </c>
      <c r="E57" s="48">
        <v>46569</v>
      </c>
      <c r="F57" s="49">
        <v>349</v>
      </c>
      <c r="G57" s="45" t="s">
        <v>18</v>
      </c>
      <c r="H57" s="50">
        <v>0</v>
      </c>
      <c r="I57" s="49">
        <f>tablet[[#This Row],[qtySaldoAwalSem1]]*tablet[[#This Row],[hargaSatuan]]</f>
        <v>0</v>
      </c>
      <c r="J57" s="50">
        <v>20000</v>
      </c>
      <c r="K57" s="51">
        <f>tablet[[#This Row],[qtyTerima2025]]*tablet[[#This Row],[hargaSatuan]]</f>
        <v>6980000</v>
      </c>
      <c r="L57" s="50">
        <v>13700</v>
      </c>
      <c r="M57" s="51">
        <f>tablet[[#This Row],[qtyDist2025]]*tablet[[#This Row],[hargaSatuan]]</f>
        <v>4781300</v>
      </c>
      <c r="N57" s="50">
        <v>0</v>
      </c>
      <c r="O57" s="51">
        <f>tablet[[#This Row],[qtyEd2025]]*tablet[[#This Row],[hargaSatuan]]</f>
        <v>0</v>
      </c>
      <c r="P57" s="50">
        <v>6300</v>
      </c>
      <c r="Q57" s="52">
        <f>tablet[[#This Row],[qtySaldoAkhir2025]]*tablet[[#This Row],[hargaSatuan]]</f>
        <v>2198700</v>
      </c>
      <c r="S57" s="32">
        <f t="shared" si="0"/>
        <v>2198700</v>
      </c>
      <c r="T57" s="32">
        <f t="shared" si="1"/>
        <v>0</v>
      </c>
    </row>
    <row r="58" spans="1:59" ht="14.4" x14ac:dyDescent="0.3">
      <c r="A58" s="44">
        <v>50</v>
      </c>
      <c r="B58" s="45" t="s">
        <v>106</v>
      </c>
      <c r="C58" s="46" t="s">
        <v>52</v>
      </c>
      <c r="D58" s="47" t="s">
        <v>107</v>
      </c>
      <c r="E58" s="48">
        <v>46113</v>
      </c>
      <c r="F58" s="49">
        <v>209</v>
      </c>
      <c r="G58" s="45" t="s">
        <v>54</v>
      </c>
      <c r="H58" s="50">
        <v>28500</v>
      </c>
      <c r="I58" s="49">
        <f>tablet[[#This Row],[qtySaldoAwalSem1]]*tablet[[#This Row],[hargaSatuan]]</f>
        <v>5956500</v>
      </c>
      <c r="J58" s="50">
        <v>0</v>
      </c>
      <c r="K58" s="51">
        <f>tablet[[#This Row],[qtyTerima2025]]*tablet[[#This Row],[hargaSatuan]]</f>
        <v>0</v>
      </c>
      <c r="L58" s="50">
        <v>28500</v>
      </c>
      <c r="M58" s="51">
        <f>tablet[[#This Row],[qtyDist2025]]*tablet[[#This Row],[hargaSatuan]]</f>
        <v>5956500</v>
      </c>
      <c r="N58" s="50">
        <v>0</v>
      </c>
      <c r="O58" s="51">
        <f>tablet[[#This Row],[qtyEd2025]]*tablet[[#This Row],[hargaSatuan]]</f>
        <v>0</v>
      </c>
      <c r="P58" s="50">
        <v>0</v>
      </c>
      <c r="Q58" s="52">
        <f>tablet[[#This Row],[qtySaldoAkhir2025]]*tablet[[#This Row],[hargaSatuan]]</f>
        <v>0</v>
      </c>
      <c r="S58" s="32">
        <f t="shared" si="0"/>
        <v>0</v>
      </c>
      <c r="T58" s="32">
        <f t="shared" si="1"/>
        <v>0</v>
      </c>
    </row>
    <row r="59" spans="1:59" ht="14.4" x14ac:dyDescent="0.3">
      <c r="A59" s="44">
        <v>51</v>
      </c>
      <c r="B59" s="45" t="s">
        <v>108</v>
      </c>
      <c r="C59" s="46" t="s">
        <v>47</v>
      </c>
      <c r="D59" s="47" t="s">
        <v>109</v>
      </c>
      <c r="E59" s="48">
        <v>46326</v>
      </c>
      <c r="F59" s="49">
        <v>10399</v>
      </c>
      <c r="G59" s="45" t="s">
        <v>40</v>
      </c>
      <c r="H59" s="50">
        <v>0</v>
      </c>
      <c r="I59" s="49">
        <f>tablet[[#This Row],[qtySaldoAwalSem1]]*tablet[[#This Row],[hargaSatuan]]</f>
        <v>0</v>
      </c>
      <c r="J59" s="50">
        <v>564</v>
      </c>
      <c r="K59" s="51">
        <f>tablet[[#This Row],[qtyTerima2025]]*tablet[[#This Row],[hargaSatuan]]</f>
        <v>5865036</v>
      </c>
      <c r="L59" s="50">
        <v>564</v>
      </c>
      <c r="M59" s="51">
        <f>tablet[[#This Row],[qtyDist2025]]*tablet[[#This Row],[hargaSatuan]]</f>
        <v>5865036</v>
      </c>
      <c r="N59" s="50">
        <v>0</v>
      </c>
      <c r="O59" s="51">
        <f>tablet[[#This Row],[qtyEd2025]]*tablet[[#This Row],[hargaSatuan]]</f>
        <v>0</v>
      </c>
      <c r="P59" s="50">
        <v>0</v>
      </c>
      <c r="Q59" s="52">
        <f>tablet[[#This Row],[qtySaldoAkhir2025]]*tablet[[#This Row],[hargaSatuan]]</f>
        <v>0</v>
      </c>
      <c r="R59" s="53"/>
      <c r="S59" s="32">
        <f t="shared" si="0"/>
        <v>0</v>
      </c>
      <c r="T59" s="32">
        <f t="shared" si="1"/>
        <v>0</v>
      </c>
      <c r="U59" s="53"/>
      <c r="V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  <c r="BE59" s="53"/>
      <c r="BF59" s="53"/>
      <c r="BG59" s="53"/>
    </row>
    <row r="60" spans="1:59" ht="18" customHeight="1" x14ac:dyDescent="0.3">
      <c r="A60" s="44"/>
      <c r="B60" s="55" t="s">
        <v>110</v>
      </c>
      <c r="C60" s="55" t="s">
        <v>47</v>
      </c>
      <c r="D60" s="56" t="s">
        <v>111</v>
      </c>
      <c r="E60" s="57">
        <v>46352</v>
      </c>
      <c r="F60" s="58">
        <v>11035</v>
      </c>
      <c r="G60" s="55" t="s">
        <v>40</v>
      </c>
      <c r="H60" s="50"/>
      <c r="I60" s="49">
        <f>tablet[[#This Row],[qtySaldoAwalSem1]]*tablet[[#This Row],[hargaSatuan]]</f>
        <v>0</v>
      </c>
      <c r="J60" s="50">
        <v>564</v>
      </c>
      <c r="K60" s="51">
        <f>tablet[[#This Row],[qtyTerima2025]]*tablet[[#This Row],[hargaSatuan]]</f>
        <v>6223740</v>
      </c>
      <c r="L60" s="50">
        <v>564</v>
      </c>
      <c r="M60" s="51">
        <f>tablet[[#This Row],[qtyDist2025]]*tablet[[#This Row],[hargaSatuan]]</f>
        <v>6223740</v>
      </c>
      <c r="N60" s="50">
        <v>0</v>
      </c>
      <c r="O60" s="51">
        <f>tablet[[#This Row],[qtyEd2025]]*tablet[[#This Row],[hargaSatuan]]</f>
        <v>0</v>
      </c>
      <c r="P60" s="50">
        <v>0</v>
      </c>
      <c r="Q60" s="52">
        <f>tablet[[#This Row],[qtySaldoAkhir2025]]*tablet[[#This Row],[hargaSatuan]]</f>
        <v>0</v>
      </c>
      <c r="R60" s="50"/>
      <c r="S60" s="32">
        <f t="shared" si="0"/>
        <v>0</v>
      </c>
      <c r="T60" s="32">
        <f t="shared" si="1"/>
        <v>0</v>
      </c>
      <c r="U60" s="54"/>
      <c r="V60" s="54"/>
      <c r="X60" s="54"/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54"/>
      <c r="AM60" s="54"/>
      <c r="AN60" s="54"/>
      <c r="AO60" s="54"/>
      <c r="AP60" s="54"/>
      <c r="AQ60" s="54"/>
      <c r="AR60" s="54"/>
      <c r="AS60" s="54"/>
      <c r="AT60" s="54"/>
      <c r="AU60" s="54"/>
      <c r="AV60" s="54"/>
      <c r="AW60" s="54"/>
      <c r="AX60" s="54"/>
      <c r="AY60" s="54"/>
      <c r="AZ60" s="54"/>
      <c r="BA60" s="54"/>
      <c r="BB60" s="54"/>
      <c r="BC60" s="54"/>
      <c r="BD60" s="54"/>
      <c r="BE60" s="54"/>
      <c r="BF60" s="54"/>
      <c r="BG60" s="54"/>
    </row>
    <row r="61" spans="1:59" ht="14.4" x14ac:dyDescent="0.3">
      <c r="A61" s="44">
        <v>52</v>
      </c>
      <c r="B61" s="45" t="s">
        <v>112</v>
      </c>
      <c r="C61" s="46" t="s">
        <v>52</v>
      </c>
      <c r="D61" s="47">
        <v>40324</v>
      </c>
      <c r="E61" s="48">
        <v>46844</v>
      </c>
      <c r="F61" s="49">
        <v>504</v>
      </c>
      <c r="G61" s="45" t="s">
        <v>54</v>
      </c>
      <c r="H61" s="50">
        <v>15700</v>
      </c>
      <c r="I61" s="49">
        <f>tablet[[#This Row],[qtySaldoAwalSem1]]*tablet[[#This Row],[hargaSatuan]]</f>
        <v>7912800</v>
      </c>
      <c r="J61" s="50">
        <v>0</v>
      </c>
      <c r="K61" s="51">
        <f>tablet[[#This Row],[qtyTerima2025]]*tablet[[#This Row],[hargaSatuan]]</f>
        <v>0</v>
      </c>
      <c r="L61" s="50">
        <v>15700</v>
      </c>
      <c r="M61" s="51">
        <f>tablet[[#This Row],[qtyDist2025]]*tablet[[#This Row],[hargaSatuan]]</f>
        <v>7912800</v>
      </c>
      <c r="N61" s="50">
        <v>0</v>
      </c>
      <c r="O61" s="51">
        <f>tablet[[#This Row],[qtyEd2025]]*tablet[[#This Row],[hargaSatuan]]</f>
        <v>0</v>
      </c>
      <c r="P61" s="50">
        <v>0</v>
      </c>
      <c r="Q61" s="52">
        <f>tablet[[#This Row],[qtySaldoAkhir2025]]*tablet[[#This Row],[hargaSatuan]]</f>
        <v>0</v>
      </c>
      <c r="S61" s="32">
        <f t="shared" si="0"/>
        <v>0</v>
      </c>
      <c r="T61" s="32">
        <f t="shared" si="1"/>
        <v>0</v>
      </c>
      <c r="W61" s="53"/>
    </row>
    <row r="62" spans="1:59" ht="14.4" x14ac:dyDescent="0.3">
      <c r="A62" s="44">
        <v>53</v>
      </c>
      <c r="B62" s="45" t="s">
        <v>112</v>
      </c>
      <c r="C62" s="46" t="s">
        <v>52</v>
      </c>
      <c r="D62" s="47" t="s">
        <v>113</v>
      </c>
      <c r="E62" s="48">
        <v>47177</v>
      </c>
      <c r="F62" s="49">
        <v>458</v>
      </c>
      <c r="G62" s="45" t="s">
        <v>18</v>
      </c>
      <c r="H62" s="50">
        <v>0</v>
      </c>
      <c r="I62" s="49">
        <f>tablet[[#This Row],[qtySaldoAwalSem1]]*tablet[[#This Row],[hargaSatuan]]</f>
        <v>0</v>
      </c>
      <c r="J62" s="50">
        <v>5900</v>
      </c>
      <c r="K62" s="51">
        <f>tablet[[#This Row],[qtyTerima2025]]*tablet[[#This Row],[hargaSatuan]]</f>
        <v>2702200</v>
      </c>
      <c r="L62" s="50">
        <v>5900</v>
      </c>
      <c r="M62" s="51">
        <f>tablet[[#This Row],[qtyDist2025]]*tablet[[#This Row],[hargaSatuan]]</f>
        <v>2702200</v>
      </c>
      <c r="N62" s="50">
        <v>0</v>
      </c>
      <c r="O62" s="51">
        <f>tablet[[#This Row],[qtyEd2025]]*tablet[[#This Row],[hargaSatuan]]</f>
        <v>0</v>
      </c>
      <c r="P62" s="50">
        <v>0</v>
      </c>
      <c r="Q62" s="52">
        <f>tablet[[#This Row],[qtySaldoAkhir2025]]*tablet[[#This Row],[hargaSatuan]]</f>
        <v>0</v>
      </c>
      <c r="S62" s="32">
        <f t="shared" si="0"/>
        <v>0</v>
      </c>
      <c r="T62" s="32">
        <f t="shared" si="1"/>
        <v>0</v>
      </c>
    </row>
    <row r="63" spans="1:59" ht="14.4" x14ac:dyDescent="0.3">
      <c r="A63" s="44">
        <v>54</v>
      </c>
      <c r="B63" s="45" t="s">
        <v>112</v>
      </c>
      <c r="C63" s="46" t="s">
        <v>52</v>
      </c>
      <c r="D63" s="47" t="s">
        <v>114</v>
      </c>
      <c r="E63" s="48">
        <v>47177</v>
      </c>
      <c r="F63" s="49">
        <v>458</v>
      </c>
      <c r="G63" s="45" t="s">
        <v>18</v>
      </c>
      <c r="H63" s="50">
        <v>0</v>
      </c>
      <c r="I63" s="49">
        <f>tablet[[#This Row],[qtySaldoAwalSem1]]*tablet[[#This Row],[hargaSatuan]]</f>
        <v>0</v>
      </c>
      <c r="J63" s="50">
        <v>31700</v>
      </c>
      <c r="K63" s="51">
        <f>tablet[[#This Row],[qtyTerima2025]]*tablet[[#This Row],[hargaSatuan]]</f>
        <v>14518600</v>
      </c>
      <c r="L63" s="50">
        <v>16600</v>
      </c>
      <c r="M63" s="51">
        <f>tablet[[#This Row],[qtyDist2025]]*tablet[[#This Row],[hargaSatuan]]</f>
        <v>7602800</v>
      </c>
      <c r="N63" s="50">
        <v>0</v>
      </c>
      <c r="O63" s="51">
        <f>tablet[[#This Row],[qtyEd2025]]*tablet[[#This Row],[hargaSatuan]]</f>
        <v>0</v>
      </c>
      <c r="P63" s="50">
        <v>15100</v>
      </c>
      <c r="Q63" s="52">
        <f>tablet[[#This Row],[qtySaldoAkhir2025]]*tablet[[#This Row],[hargaSatuan]]</f>
        <v>6915800</v>
      </c>
      <c r="S63" s="32">
        <f t="shared" si="0"/>
        <v>6915800</v>
      </c>
      <c r="T63" s="32">
        <f t="shared" si="1"/>
        <v>0</v>
      </c>
      <c r="W63" s="53"/>
    </row>
    <row r="64" spans="1:59" ht="14.4" x14ac:dyDescent="0.3">
      <c r="A64" s="44">
        <v>55</v>
      </c>
      <c r="B64" s="45" t="s">
        <v>112</v>
      </c>
      <c r="C64" s="46" t="s">
        <v>52</v>
      </c>
      <c r="D64" s="47" t="s">
        <v>115</v>
      </c>
      <c r="E64" s="48">
        <v>47177</v>
      </c>
      <c r="F64" s="49">
        <v>458</v>
      </c>
      <c r="G64" s="45" t="s">
        <v>18</v>
      </c>
      <c r="H64" s="50">
        <v>0</v>
      </c>
      <c r="I64" s="49">
        <f>tablet[[#This Row],[qtySaldoAwalSem1]]*tablet[[#This Row],[hargaSatuan]]</f>
        <v>0</v>
      </c>
      <c r="J64" s="50">
        <v>1300</v>
      </c>
      <c r="K64" s="51">
        <f>tablet[[#This Row],[qtyTerima2025]]*tablet[[#This Row],[hargaSatuan]]</f>
        <v>595400</v>
      </c>
      <c r="L64" s="50">
        <v>1300</v>
      </c>
      <c r="M64" s="51">
        <f>tablet[[#This Row],[qtyDist2025]]*tablet[[#This Row],[hargaSatuan]]</f>
        <v>595400</v>
      </c>
      <c r="N64" s="50">
        <v>0</v>
      </c>
      <c r="O64" s="51">
        <f>tablet[[#This Row],[qtyEd2025]]*tablet[[#This Row],[hargaSatuan]]</f>
        <v>0</v>
      </c>
      <c r="P64" s="50">
        <v>0</v>
      </c>
      <c r="Q64" s="52">
        <f>tablet[[#This Row],[qtySaldoAkhir2025]]*tablet[[#This Row],[hargaSatuan]]</f>
        <v>0</v>
      </c>
      <c r="S64" s="32">
        <f t="shared" si="0"/>
        <v>0</v>
      </c>
      <c r="T64" s="32">
        <f t="shared" si="1"/>
        <v>0</v>
      </c>
      <c r="W64" s="53"/>
    </row>
    <row r="65" spans="1:59" ht="14.4" x14ac:dyDescent="0.3">
      <c r="A65" s="44">
        <v>56</v>
      </c>
      <c r="B65" s="45" t="s">
        <v>116</v>
      </c>
      <c r="C65" s="46" t="s">
        <v>47</v>
      </c>
      <c r="D65" s="47" t="s">
        <v>117</v>
      </c>
      <c r="E65" s="48">
        <v>46538</v>
      </c>
      <c r="F65" s="49">
        <v>7893</v>
      </c>
      <c r="G65" s="45" t="s">
        <v>40</v>
      </c>
      <c r="H65" s="50">
        <v>0</v>
      </c>
      <c r="I65" s="49">
        <f>tablet[[#This Row],[qtySaldoAwalSem1]]*tablet[[#This Row],[hargaSatuan]]</f>
        <v>0</v>
      </c>
      <c r="J65" s="50">
        <v>600</v>
      </c>
      <c r="K65" s="51">
        <f>tablet[[#This Row],[qtyTerima2025]]*tablet[[#This Row],[hargaSatuan]]</f>
        <v>4735800</v>
      </c>
      <c r="L65" s="50">
        <v>600</v>
      </c>
      <c r="M65" s="51">
        <f>tablet[[#This Row],[qtyDist2025]]*tablet[[#This Row],[hargaSatuan]]</f>
        <v>4735800</v>
      </c>
      <c r="N65" s="50">
        <v>0</v>
      </c>
      <c r="O65" s="51">
        <f>tablet[[#This Row],[qtyEd2025]]*tablet[[#This Row],[hargaSatuan]]</f>
        <v>0</v>
      </c>
      <c r="P65" s="50">
        <v>0</v>
      </c>
      <c r="Q65" s="52">
        <f>tablet[[#This Row],[qtySaldoAkhir2025]]*tablet[[#This Row],[hargaSatuan]]</f>
        <v>0</v>
      </c>
      <c r="R65" s="53"/>
      <c r="S65" s="32">
        <f t="shared" si="0"/>
        <v>0</v>
      </c>
      <c r="T65" s="32">
        <f t="shared" si="1"/>
        <v>0</v>
      </c>
      <c r="U65" s="53"/>
      <c r="V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  <c r="BE65" s="53"/>
      <c r="BF65" s="53"/>
      <c r="BG65" s="53"/>
    </row>
    <row r="66" spans="1:59" ht="14.4" x14ac:dyDescent="0.3">
      <c r="A66" s="44">
        <v>57</v>
      </c>
      <c r="B66" s="45" t="s">
        <v>118</v>
      </c>
      <c r="C66" s="46" t="s">
        <v>52</v>
      </c>
      <c r="D66" s="47">
        <v>1407397</v>
      </c>
      <c r="E66" s="48">
        <v>46935</v>
      </c>
      <c r="F66" s="49">
        <v>70</v>
      </c>
      <c r="G66" s="45" t="s">
        <v>54</v>
      </c>
      <c r="H66" s="50">
        <v>51300</v>
      </c>
      <c r="I66" s="49">
        <f>tablet[[#This Row],[qtySaldoAwalSem1]]*tablet[[#This Row],[hargaSatuan]]</f>
        <v>3591000</v>
      </c>
      <c r="J66" s="50">
        <v>0</v>
      </c>
      <c r="K66" s="51">
        <f>tablet[[#This Row],[qtyTerima2025]]*tablet[[#This Row],[hargaSatuan]]</f>
        <v>0</v>
      </c>
      <c r="L66" s="50">
        <v>51300</v>
      </c>
      <c r="M66" s="51">
        <f>tablet[[#This Row],[qtyDist2025]]*tablet[[#This Row],[hargaSatuan]]</f>
        <v>3591000</v>
      </c>
      <c r="N66" s="50">
        <v>0</v>
      </c>
      <c r="O66" s="51">
        <f>tablet[[#This Row],[qtyEd2025]]*tablet[[#This Row],[hargaSatuan]]</f>
        <v>0</v>
      </c>
      <c r="P66" s="50">
        <v>0</v>
      </c>
      <c r="Q66" s="52">
        <f>tablet[[#This Row],[qtySaldoAkhir2025]]*tablet[[#This Row],[hargaSatuan]]</f>
        <v>0</v>
      </c>
      <c r="S66" s="32">
        <f t="shared" si="0"/>
        <v>0</v>
      </c>
      <c r="T66" s="32">
        <f t="shared" si="1"/>
        <v>0</v>
      </c>
    </row>
    <row r="67" spans="1:59" ht="14.4" x14ac:dyDescent="0.3">
      <c r="A67" s="44">
        <v>58</v>
      </c>
      <c r="B67" s="45" t="s">
        <v>119</v>
      </c>
      <c r="C67" s="46" t="s">
        <v>120</v>
      </c>
      <c r="D67" s="47" t="s">
        <v>121</v>
      </c>
      <c r="E67" s="48">
        <v>45856</v>
      </c>
      <c r="F67" s="49">
        <v>23157</v>
      </c>
      <c r="G67" s="45" t="s">
        <v>40</v>
      </c>
      <c r="H67" s="50">
        <v>0</v>
      </c>
      <c r="I67" s="49">
        <f>tablet[[#This Row],[qtySaldoAwalSem1]]*tablet[[#This Row],[hargaSatuan]]</f>
        <v>0</v>
      </c>
      <c r="J67" s="50">
        <v>20</v>
      </c>
      <c r="K67" s="51">
        <f>tablet[[#This Row],[qtyTerima2025]]*tablet[[#This Row],[hargaSatuan]]</f>
        <v>463140</v>
      </c>
      <c r="L67" s="50">
        <v>15</v>
      </c>
      <c r="M67" s="51">
        <f>tablet[[#This Row],[qtyDist2025]]*tablet[[#This Row],[hargaSatuan]]</f>
        <v>347355</v>
      </c>
      <c r="N67" s="50">
        <v>5</v>
      </c>
      <c r="O67" s="51">
        <f>tablet[[#This Row],[qtyEd2025]]*tablet[[#This Row],[hargaSatuan]]</f>
        <v>115785</v>
      </c>
      <c r="P67" s="50">
        <v>0</v>
      </c>
      <c r="Q67" s="52">
        <f>tablet[[#This Row],[qtySaldoAkhir2025]]*tablet[[#This Row],[hargaSatuan]]</f>
        <v>0</v>
      </c>
      <c r="R67" s="53"/>
      <c r="S67" s="32">
        <f t="shared" si="0"/>
        <v>0</v>
      </c>
      <c r="T67" s="32">
        <f t="shared" si="1"/>
        <v>0</v>
      </c>
      <c r="U67" s="53"/>
      <c r="V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/>
      <c r="BE67" s="53"/>
      <c r="BF67" s="53"/>
      <c r="BG67" s="53"/>
    </row>
    <row r="68" spans="1:59" ht="14.4" x14ac:dyDescent="0.3">
      <c r="A68" s="44">
        <v>59</v>
      </c>
      <c r="B68" s="45" t="s">
        <v>119</v>
      </c>
      <c r="C68" s="46" t="s">
        <v>47</v>
      </c>
      <c r="D68" s="47">
        <v>240604</v>
      </c>
      <c r="E68" s="48">
        <v>46174</v>
      </c>
      <c r="F68" s="49">
        <v>3600</v>
      </c>
      <c r="G68" s="45" t="s">
        <v>40</v>
      </c>
      <c r="H68" s="50">
        <v>0</v>
      </c>
      <c r="I68" s="49">
        <f>tablet[[#This Row],[qtySaldoAwalSem1]]*tablet[[#This Row],[hargaSatuan]]</f>
        <v>0</v>
      </c>
      <c r="J68" s="50">
        <v>135</v>
      </c>
      <c r="K68" s="51">
        <f>tablet[[#This Row],[qtyTerima2025]]*tablet[[#This Row],[hargaSatuan]]</f>
        <v>486000</v>
      </c>
      <c r="L68" s="50">
        <v>9</v>
      </c>
      <c r="M68" s="51">
        <f>tablet[[#This Row],[qtyDist2025]]*tablet[[#This Row],[hargaSatuan]]</f>
        <v>32400</v>
      </c>
      <c r="N68" s="50">
        <v>0</v>
      </c>
      <c r="O68" s="51">
        <f>tablet[[#This Row],[qtyEd2025]]*tablet[[#This Row],[hargaSatuan]]</f>
        <v>0</v>
      </c>
      <c r="P68" s="50">
        <v>126</v>
      </c>
      <c r="Q68" s="52">
        <f>tablet[[#This Row],[qtySaldoAkhir2025]]*tablet[[#This Row],[hargaSatuan]]</f>
        <v>453600</v>
      </c>
      <c r="R68" s="53"/>
      <c r="S68" s="32">
        <f t="shared" si="0"/>
        <v>453600</v>
      </c>
      <c r="T68" s="32">
        <f t="shared" si="1"/>
        <v>0</v>
      </c>
      <c r="U68" s="53"/>
      <c r="V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  <c r="BE68" s="53"/>
      <c r="BF68" s="53"/>
      <c r="BG68" s="53"/>
    </row>
    <row r="69" spans="1:59" ht="14.4" x14ac:dyDescent="0.3">
      <c r="A69" s="44">
        <v>60</v>
      </c>
      <c r="B69" s="45" t="s">
        <v>122</v>
      </c>
      <c r="C69" s="46" t="s">
        <v>52</v>
      </c>
      <c r="D69" s="47" t="s">
        <v>123</v>
      </c>
      <c r="E69" s="48">
        <v>46054</v>
      </c>
      <c r="F69" s="49">
        <v>166</v>
      </c>
      <c r="G69" s="45" t="s">
        <v>54</v>
      </c>
      <c r="H69" s="50">
        <v>1400</v>
      </c>
      <c r="I69" s="49">
        <f>tablet[[#This Row],[qtySaldoAwalSem1]]*tablet[[#This Row],[hargaSatuan]]</f>
        <v>232400</v>
      </c>
      <c r="J69" s="50">
        <v>0</v>
      </c>
      <c r="K69" s="51">
        <f>tablet[[#This Row],[qtyTerima2025]]*tablet[[#This Row],[hargaSatuan]]</f>
        <v>0</v>
      </c>
      <c r="L69" s="50">
        <v>1400</v>
      </c>
      <c r="M69" s="51">
        <f>tablet[[#This Row],[qtyDist2025]]*tablet[[#This Row],[hargaSatuan]]</f>
        <v>232400</v>
      </c>
      <c r="N69" s="50">
        <v>0</v>
      </c>
      <c r="O69" s="51">
        <f>tablet[[#This Row],[qtyEd2025]]*tablet[[#This Row],[hargaSatuan]]</f>
        <v>0</v>
      </c>
      <c r="P69" s="50">
        <v>0</v>
      </c>
      <c r="Q69" s="52">
        <f>tablet[[#This Row],[qtySaldoAkhir2025]]*tablet[[#This Row],[hargaSatuan]]</f>
        <v>0</v>
      </c>
      <c r="S69" s="32">
        <f t="shared" si="0"/>
        <v>0</v>
      </c>
      <c r="T69" s="32">
        <f t="shared" si="1"/>
        <v>0</v>
      </c>
    </row>
    <row r="70" spans="1:59" ht="14.4" x14ac:dyDescent="0.3">
      <c r="A70" s="44">
        <v>61</v>
      </c>
      <c r="B70" s="45" t="s">
        <v>124</v>
      </c>
      <c r="C70" s="46" t="s">
        <v>47</v>
      </c>
      <c r="D70" s="47" t="s">
        <v>125</v>
      </c>
      <c r="E70" s="48">
        <v>46446</v>
      </c>
      <c r="F70" s="49">
        <v>171</v>
      </c>
      <c r="G70" s="45" t="s">
        <v>18</v>
      </c>
      <c r="H70" s="50">
        <v>0</v>
      </c>
      <c r="I70" s="49">
        <f>tablet[[#This Row],[qtySaldoAwalSem1]]*tablet[[#This Row],[hargaSatuan]]</f>
        <v>0</v>
      </c>
      <c r="J70" s="50">
        <v>37800</v>
      </c>
      <c r="K70" s="51">
        <f>tablet[[#This Row],[qtyTerima2025]]*tablet[[#This Row],[hargaSatuan]]</f>
        <v>6463800</v>
      </c>
      <c r="L70" s="50">
        <v>37800</v>
      </c>
      <c r="M70" s="51">
        <f>tablet[[#This Row],[qtyDist2025]]*tablet[[#This Row],[hargaSatuan]]</f>
        <v>6463800</v>
      </c>
      <c r="N70" s="50">
        <v>0</v>
      </c>
      <c r="O70" s="51">
        <f>tablet[[#This Row],[qtyEd2025]]*tablet[[#This Row],[hargaSatuan]]</f>
        <v>0</v>
      </c>
      <c r="P70" s="50">
        <v>0</v>
      </c>
      <c r="Q70" s="52">
        <f>tablet[[#This Row],[qtySaldoAkhir2025]]*tablet[[#This Row],[hargaSatuan]]</f>
        <v>0</v>
      </c>
      <c r="S70" s="32">
        <f t="shared" si="0"/>
        <v>0</v>
      </c>
      <c r="T70" s="32">
        <f t="shared" si="1"/>
        <v>0</v>
      </c>
    </row>
    <row r="71" spans="1:59" ht="14.4" x14ac:dyDescent="0.3">
      <c r="A71" s="44">
        <v>62</v>
      </c>
      <c r="B71" s="45" t="s">
        <v>126</v>
      </c>
      <c r="C71" s="46" t="s">
        <v>38</v>
      </c>
      <c r="D71" s="47" t="s">
        <v>127</v>
      </c>
      <c r="E71" s="48">
        <v>45809</v>
      </c>
      <c r="F71" s="49">
        <v>133200</v>
      </c>
      <c r="G71" s="45" t="s">
        <v>40</v>
      </c>
      <c r="H71" s="50">
        <v>40</v>
      </c>
      <c r="I71" s="49">
        <f>tablet[[#This Row],[qtySaldoAwalSem1]]*tablet[[#This Row],[hargaSatuan]]</f>
        <v>5328000</v>
      </c>
      <c r="J71" s="50">
        <v>2</v>
      </c>
      <c r="K71" s="51">
        <f>tablet[[#This Row],[qtyTerima2025]]*tablet[[#This Row],[hargaSatuan]]</f>
        <v>266400</v>
      </c>
      <c r="L71" s="50">
        <v>12</v>
      </c>
      <c r="M71" s="51">
        <f>tablet[[#This Row],[qtyDist2025]]*tablet[[#This Row],[hargaSatuan]]</f>
        <v>1598400</v>
      </c>
      <c r="N71" s="50">
        <v>30</v>
      </c>
      <c r="O71" s="51">
        <f>tablet[[#This Row],[qtyEd2025]]*tablet[[#This Row],[hargaSatuan]]</f>
        <v>3996000</v>
      </c>
      <c r="P71" s="50">
        <v>0</v>
      </c>
      <c r="Q71" s="52">
        <f>tablet[[#This Row],[qtySaldoAkhir2025]]*tablet[[#This Row],[hargaSatuan]]</f>
        <v>0</v>
      </c>
      <c r="S71" s="32">
        <f t="shared" si="0"/>
        <v>0</v>
      </c>
      <c r="T71" s="32">
        <f t="shared" si="1"/>
        <v>0</v>
      </c>
    </row>
    <row r="72" spans="1:59" ht="14.4" x14ac:dyDescent="0.3">
      <c r="A72" s="44">
        <v>63</v>
      </c>
      <c r="B72" s="45" t="s">
        <v>126</v>
      </c>
      <c r="C72" s="46" t="s">
        <v>38</v>
      </c>
      <c r="D72" s="47" t="s">
        <v>128</v>
      </c>
      <c r="E72" s="48">
        <v>46235</v>
      </c>
      <c r="F72" s="49">
        <v>133200</v>
      </c>
      <c r="G72" s="45" t="s">
        <v>40</v>
      </c>
      <c r="H72" s="50">
        <v>0</v>
      </c>
      <c r="I72" s="49">
        <f>tablet[[#This Row],[qtySaldoAwalSem1]]*tablet[[#This Row],[hargaSatuan]]</f>
        <v>0</v>
      </c>
      <c r="J72" s="50">
        <v>35</v>
      </c>
      <c r="K72" s="51">
        <f>tablet[[#This Row],[qtyTerima2025]]*tablet[[#This Row],[hargaSatuan]]</f>
        <v>4662000</v>
      </c>
      <c r="L72" s="50">
        <v>35</v>
      </c>
      <c r="M72" s="51">
        <f>tablet[[#This Row],[qtyDist2025]]*tablet[[#This Row],[hargaSatuan]]</f>
        <v>4662000</v>
      </c>
      <c r="N72" s="50">
        <v>0</v>
      </c>
      <c r="O72" s="51">
        <f>tablet[[#This Row],[qtyEd2025]]*tablet[[#This Row],[hargaSatuan]]</f>
        <v>0</v>
      </c>
      <c r="P72" s="50">
        <v>0</v>
      </c>
      <c r="Q72" s="52">
        <f>tablet[[#This Row],[qtySaldoAkhir2025]]*tablet[[#This Row],[hargaSatuan]]</f>
        <v>0</v>
      </c>
      <c r="S72" s="32">
        <f t="shared" ref="S72:S135" si="2">IFERROR(I72+K72-(M72+O72),0)</f>
        <v>0</v>
      </c>
      <c r="T72" s="32">
        <f t="shared" ref="T72:T135" si="3">IFERROR(Q72-S72,0)</f>
        <v>0</v>
      </c>
      <c r="W72" s="53"/>
    </row>
    <row r="73" spans="1:59" ht="14.4" x14ac:dyDescent="0.3">
      <c r="A73" s="44">
        <v>64</v>
      </c>
      <c r="B73" s="45" t="s">
        <v>126</v>
      </c>
      <c r="C73" s="46" t="s">
        <v>38</v>
      </c>
      <c r="D73" s="47" t="s">
        <v>129</v>
      </c>
      <c r="E73" s="48">
        <v>46356</v>
      </c>
      <c r="F73" s="49">
        <v>155640</v>
      </c>
      <c r="G73" s="45" t="s">
        <v>40</v>
      </c>
      <c r="H73" s="50">
        <v>0</v>
      </c>
      <c r="I73" s="49">
        <f>tablet[[#This Row],[qtySaldoAwalSem1]]*tablet[[#This Row],[hargaSatuan]]</f>
        <v>0</v>
      </c>
      <c r="J73" s="50">
        <v>20</v>
      </c>
      <c r="K73" s="51">
        <f>tablet[[#This Row],[qtyTerima2025]]*tablet[[#This Row],[hargaSatuan]]</f>
        <v>3112800</v>
      </c>
      <c r="L73" s="50">
        <v>20</v>
      </c>
      <c r="M73" s="51">
        <f>tablet[[#This Row],[qtyDist2025]]*tablet[[#This Row],[hargaSatuan]]</f>
        <v>3112800</v>
      </c>
      <c r="N73" s="50">
        <v>0</v>
      </c>
      <c r="O73" s="51">
        <f>tablet[[#This Row],[qtyEd2025]]*tablet[[#This Row],[hargaSatuan]]</f>
        <v>0</v>
      </c>
      <c r="P73" s="50">
        <v>0</v>
      </c>
      <c r="Q73" s="52">
        <f>tablet[[#This Row],[qtySaldoAkhir2025]]*tablet[[#This Row],[hargaSatuan]]</f>
        <v>0</v>
      </c>
      <c r="S73" s="32">
        <f t="shared" si="2"/>
        <v>0</v>
      </c>
      <c r="T73" s="32">
        <f t="shared" si="3"/>
        <v>0</v>
      </c>
      <c r="W73" s="53"/>
    </row>
    <row r="74" spans="1:59" ht="14.4" x14ac:dyDescent="0.3">
      <c r="A74" s="44">
        <v>65</v>
      </c>
      <c r="B74" s="45" t="s">
        <v>126</v>
      </c>
      <c r="C74" s="46" t="s">
        <v>38</v>
      </c>
      <c r="D74" s="47" t="s">
        <v>130</v>
      </c>
      <c r="E74" s="48">
        <v>46264</v>
      </c>
      <c r="F74" s="49">
        <v>133200</v>
      </c>
      <c r="G74" s="45" t="s">
        <v>40</v>
      </c>
      <c r="H74" s="50">
        <v>0</v>
      </c>
      <c r="I74" s="49">
        <f>tablet[[#This Row],[qtySaldoAwalSem1]]*tablet[[#This Row],[hargaSatuan]]</f>
        <v>0</v>
      </c>
      <c r="J74" s="50">
        <v>40</v>
      </c>
      <c r="K74" s="51">
        <f>tablet[[#This Row],[qtyTerima2025]]*tablet[[#This Row],[hargaSatuan]]</f>
        <v>5328000</v>
      </c>
      <c r="L74" s="50">
        <v>20</v>
      </c>
      <c r="M74" s="51">
        <f>tablet[[#This Row],[qtyDist2025]]*tablet[[#This Row],[hargaSatuan]]</f>
        <v>2664000</v>
      </c>
      <c r="N74" s="50">
        <v>0</v>
      </c>
      <c r="O74" s="51">
        <f>tablet[[#This Row],[qtyEd2025]]*tablet[[#This Row],[hargaSatuan]]</f>
        <v>0</v>
      </c>
      <c r="P74" s="50">
        <v>20</v>
      </c>
      <c r="Q74" s="52">
        <f>tablet[[#This Row],[qtySaldoAkhir2025]]*tablet[[#This Row],[hargaSatuan]]</f>
        <v>2664000</v>
      </c>
      <c r="S74" s="32">
        <f t="shared" si="2"/>
        <v>2664000</v>
      </c>
      <c r="T74" s="32">
        <f t="shared" si="3"/>
        <v>0</v>
      </c>
      <c r="W74" s="53"/>
    </row>
    <row r="75" spans="1:59" ht="14.4" x14ac:dyDescent="0.3">
      <c r="A75" s="44">
        <v>66</v>
      </c>
      <c r="B75" s="45" t="s">
        <v>131</v>
      </c>
      <c r="C75" s="46" t="s">
        <v>52</v>
      </c>
      <c r="D75" s="47" t="s">
        <v>132</v>
      </c>
      <c r="E75" s="48">
        <v>45658</v>
      </c>
      <c r="F75" s="49">
        <v>670</v>
      </c>
      <c r="G75" s="45" t="s">
        <v>40</v>
      </c>
      <c r="H75" s="50">
        <v>700</v>
      </c>
      <c r="I75" s="49">
        <f>tablet[[#This Row],[qtySaldoAwalSem1]]*tablet[[#This Row],[hargaSatuan]]</f>
        <v>469000</v>
      </c>
      <c r="J75" s="50">
        <v>0</v>
      </c>
      <c r="K75" s="51">
        <f>tablet[[#This Row],[qtyTerima2025]]*tablet[[#This Row],[hargaSatuan]]</f>
        <v>0</v>
      </c>
      <c r="L75" s="50">
        <v>0</v>
      </c>
      <c r="M75" s="51">
        <f>tablet[[#This Row],[qtyDist2025]]*tablet[[#This Row],[hargaSatuan]]</f>
        <v>0</v>
      </c>
      <c r="N75" s="50">
        <v>700</v>
      </c>
      <c r="O75" s="51">
        <f>tablet[[#This Row],[qtyEd2025]]*tablet[[#This Row],[hargaSatuan]]</f>
        <v>469000</v>
      </c>
      <c r="P75" s="50">
        <v>0</v>
      </c>
      <c r="Q75" s="52">
        <f>tablet[[#This Row],[qtySaldoAkhir2025]]*tablet[[#This Row],[hargaSatuan]]</f>
        <v>0</v>
      </c>
      <c r="S75" s="32">
        <f t="shared" si="2"/>
        <v>0</v>
      </c>
      <c r="T75" s="32">
        <f t="shared" si="3"/>
        <v>0</v>
      </c>
      <c r="W75" s="53"/>
    </row>
    <row r="76" spans="1:59" ht="14.4" x14ac:dyDescent="0.3">
      <c r="A76" s="44">
        <v>67</v>
      </c>
      <c r="B76" s="45" t="s">
        <v>131</v>
      </c>
      <c r="C76" s="46" t="s">
        <v>52</v>
      </c>
      <c r="D76" s="47" t="s">
        <v>133</v>
      </c>
      <c r="E76" s="48">
        <v>45838</v>
      </c>
      <c r="F76" s="49">
        <v>561</v>
      </c>
      <c r="G76" s="45" t="s">
        <v>40</v>
      </c>
      <c r="H76" s="50">
        <v>0</v>
      </c>
      <c r="I76" s="49">
        <f>tablet[[#This Row],[qtySaldoAwalSem1]]*tablet[[#This Row],[hargaSatuan]]</f>
        <v>0</v>
      </c>
      <c r="J76" s="50">
        <v>280</v>
      </c>
      <c r="K76" s="51">
        <f>tablet[[#This Row],[qtyTerima2025]]*tablet[[#This Row],[hargaSatuan]]</f>
        <v>157080</v>
      </c>
      <c r="L76" s="50">
        <v>280</v>
      </c>
      <c r="M76" s="51">
        <f>tablet[[#This Row],[qtyDist2025]]*tablet[[#This Row],[hargaSatuan]]</f>
        <v>157080</v>
      </c>
      <c r="N76" s="50">
        <v>0</v>
      </c>
      <c r="O76" s="51">
        <f>tablet[[#This Row],[qtyEd2025]]*tablet[[#This Row],[hargaSatuan]]</f>
        <v>0</v>
      </c>
      <c r="P76" s="50">
        <v>0</v>
      </c>
      <c r="Q76" s="52">
        <f>tablet[[#This Row],[qtySaldoAkhir2025]]*tablet[[#This Row],[hargaSatuan]]</f>
        <v>0</v>
      </c>
      <c r="R76" s="53"/>
      <c r="S76" s="32">
        <f t="shared" si="2"/>
        <v>0</v>
      </c>
      <c r="T76" s="32">
        <f t="shared" si="3"/>
        <v>0</v>
      </c>
      <c r="U76" s="53"/>
      <c r="V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  <c r="BE76" s="53"/>
      <c r="BF76" s="53"/>
      <c r="BG76" s="53"/>
    </row>
    <row r="77" spans="1:59" ht="14.4" x14ac:dyDescent="0.3">
      <c r="A77" s="44">
        <v>68</v>
      </c>
      <c r="B77" s="45" t="s">
        <v>131</v>
      </c>
      <c r="C77" s="46" t="s">
        <v>52</v>
      </c>
      <c r="D77" s="47" t="s">
        <v>134</v>
      </c>
      <c r="E77" s="48">
        <v>45838</v>
      </c>
      <c r="F77" s="49">
        <v>500</v>
      </c>
      <c r="G77" s="45" t="s">
        <v>40</v>
      </c>
      <c r="H77" s="50">
        <v>0</v>
      </c>
      <c r="I77" s="49">
        <f>tablet[[#This Row],[qtySaldoAwalSem1]]*tablet[[#This Row],[hargaSatuan]]</f>
        <v>0</v>
      </c>
      <c r="J77" s="50">
        <v>1372</v>
      </c>
      <c r="K77" s="51">
        <f>tablet[[#This Row],[qtyTerima2025]]*tablet[[#This Row],[hargaSatuan]]</f>
        <v>686000</v>
      </c>
      <c r="L77" s="50">
        <v>1372</v>
      </c>
      <c r="M77" s="51">
        <f>tablet[[#This Row],[qtyDist2025]]*tablet[[#This Row],[hargaSatuan]]</f>
        <v>686000</v>
      </c>
      <c r="N77" s="50">
        <v>0</v>
      </c>
      <c r="O77" s="51">
        <f>tablet[[#This Row],[qtyEd2025]]*tablet[[#This Row],[hargaSatuan]]</f>
        <v>0</v>
      </c>
      <c r="P77" s="50">
        <v>0</v>
      </c>
      <c r="Q77" s="52">
        <f>tablet[[#This Row],[qtySaldoAkhir2025]]*tablet[[#This Row],[hargaSatuan]]</f>
        <v>0</v>
      </c>
      <c r="R77" s="53"/>
      <c r="S77" s="32">
        <f t="shared" si="2"/>
        <v>0</v>
      </c>
      <c r="T77" s="32">
        <f t="shared" si="3"/>
        <v>0</v>
      </c>
      <c r="U77" s="53"/>
      <c r="V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  <c r="BC77" s="53"/>
      <c r="BD77" s="53"/>
      <c r="BE77" s="53"/>
      <c r="BF77" s="53"/>
      <c r="BG77" s="53"/>
    </row>
    <row r="78" spans="1:59" ht="14.4" x14ac:dyDescent="0.3">
      <c r="A78" s="44">
        <v>69</v>
      </c>
      <c r="B78" s="45" t="s">
        <v>131</v>
      </c>
      <c r="C78" s="46" t="s">
        <v>52</v>
      </c>
      <c r="D78" s="47" t="s">
        <v>135</v>
      </c>
      <c r="E78" s="48">
        <v>46173</v>
      </c>
      <c r="F78" s="49">
        <v>561</v>
      </c>
      <c r="G78" s="45" t="s">
        <v>40</v>
      </c>
      <c r="H78" s="50">
        <v>0</v>
      </c>
      <c r="I78" s="49">
        <f>tablet[[#This Row],[qtySaldoAwalSem1]]*tablet[[#This Row],[hargaSatuan]]</f>
        <v>0</v>
      </c>
      <c r="J78" s="50">
        <v>1876</v>
      </c>
      <c r="K78" s="51">
        <f>tablet[[#This Row],[qtyTerima2025]]*tablet[[#This Row],[hargaSatuan]]</f>
        <v>1052436</v>
      </c>
      <c r="L78" s="50">
        <v>1568</v>
      </c>
      <c r="M78" s="51">
        <f>tablet[[#This Row],[qtyDist2025]]*tablet[[#This Row],[hargaSatuan]]</f>
        <v>879648</v>
      </c>
      <c r="N78" s="50">
        <v>0</v>
      </c>
      <c r="O78" s="51">
        <f>tablet[[#This Row],[qtyEd2025]]*tablet[[#This Row],[hargaSatuan]]</f>
        <v>0</v>
      </c>
      <c r="P78" s="50">
        <v>308</v>
      </c>
      <c r="Q78" s="52">
        <f>tablet[[#This Row],[qtySaldoAkhir2025]]*tablet[[#This Row],[hargaSatuan]]</f>
        <v>172788</v>
      </c>
      <c r="R78" s="53"/>
      <c r="S78" s="32">
        <f t="shared" si="2"/>
        <v>172788</v>
      </c>
      <c r="T78" s="32">
        <f t="shared" si="3"/>
        <v>0</v>
      </c>
      <c r="U78" s="53"/>
      <c r="V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  <c r="AZ78" s="53"/>
      <c r="BA78" s="53"/>
      <c r="BB78" s="53"/>
      <c r="BC78" s="53"/>
      <c r="BD78" s="53"/>
      <c r="BE78" s="53"/>
      <c r="BF78" s="53"/>
      <c r="BG78" s="53"/>
    </row>
    <row r="79" spans="1:59" ht="14.4" x14ac:dyDescent="0.3">
      <c r="A79" s="44">
        <v>70</v>
      </c>
      <c r="B79" s="45" t="s">
        <v>136</v>
      </c>
      <c r="C79" s="46" t="s">
        <v>52</v>
      </c>
      <c r="D79" s="47" t="s">
        <v>137</v>
      </c>
      <c r="E79" s="48">
        <v>46721</v>
      </c>
      <c r="F79" s="49">
        <v>1513</v>
      </c>
      <c r="G79" s="45" t="s">
        <v>40</v>
      </c>
      <c r="H79" s="50">
        <v>0</v>
      </c>
      <c r="I79" s="49">
        <f>tablet[[#This Row],[qtySaldoAwalSem1]]*tablet[[#This Row],[hargaSatuan]]</f>
        <v>0</v>
      </c>
      <c r="J79" s="50">
        <v>1700</v>
      </c>
      <c r="K79" s="51">
        <f>tablet[[#This Row],[qtyTerima2025]]*tablet[[#This Row],[hargaSatuan]]</f>
        <v>2572100</v>
      </c>
      <c r="L79" s="50">
        <v>1700</v>
      </c>
      <c r="M79" s="51">
        <f>tablet[[#This Row],[qtyDist2025]]*tablet[[#This Row],[hargaSatuan]]</f>
        <v>2572100</v>
      </c>
      <c r="N79" s="50">
        <v>0</v>
      </c>
      <c r="O79" s="51">
        <f>tablet[[#This Row],[qtyEd2025]]*tablet[[#This Row],[hargaSatuan]]</f>
        <v>0</v>
      </c>
      <c r="P79" s="50">
        <v>0</v>
      </c>
      <c r="Q79" s="52">
        <f>tablet[[#This Row],[qtySaldoAkhir2025]]*tablet[[#This Row],[hargaSatuan]]</f>
        <v>0</v>
      </c>
      <c r="R79" s="53"/>
      <c r="S79" s="32">
        <f t="shared" si="2"/>
        <v>0</v>
      </c>
      <c r="T79" s="32">
        <f t="shared" si="3"/>
        <v>0</v>
      </c>
      <c r="U79" s="53"/>
      <c r="V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3"/>
      <c r="AZ79" s="53"/>
      <c r="BA79" s="53"/>
      <c r="BB79" s="53"/>
      <c r="BC79" s="53"/>
      <c r="BD79" s="53"/>
      <c r="BE79" s="53"/>
      <c r="BF79" s="53"/>
      <c r="BG79" s="53"/>
    </row>
    <row r="80" spans="1:59" ht="14.4" x14ac:dyDescent="0.3">
      <c r="A80" s="44">
        <v>71</v>
      </c>
      <c r="B80" s="45" t="s">
        <v>138</v>
      </c>
      <c r="C80" s="46" t="s">
        <v>120</v>
      </c>
      <c r="D80" s="47" t="s">
        <v>139</v>
      </c>
      <c r="E80" s="48">
        <v>46054</v>
      </c>
      <c r="F80" s="49">
        <v>86490</v>
      </c>
      <c r="G80" s="45" t="s">
        <v>40</v>
      </c>
      <c r="H80" s="50">
        <v>10</v>
      </c>
      <c r="I80" s="49">
        <f>tablet[[#This Row],[qtySaldoAwalSem1]]*tablet[[#This Row],[hargaSatuan]]</f>
        <v>864900</v>
      </c>
      <c r="J80" s="50">
        <v>6</v>
      </c>
      <c r="K80" s="51">
        <f>tablet[[#This Row],[qtyTerima2025]]*tablet[[#This Row],[hargaSatuan]]</f>
        <v>518940</v>
      </c>
      <c r="L80" s="50">
        <v>16</v>
      </c>
      <c r="M80" s="51">
        <f>tablet[[#This Row],[qtyDist2025]]*tablet[[#This Row],[hargaSatuan]]</f>
        <v>1383840</v>
      </c>
      <c r="N80" s="50">
        <v>0</v>
      </c>
      <c r="O80" s="51">
        <f>tablet[[#This Row],[qtyEd2025]]*tablet[[#This Row],[hargaSatuan]]</f>
        <v>0</v>
      </c>
      <c r="P80" s="50">
        <v>0</v>
      </c>
      <c r="Q80" s="52">
        <f>tablet[[#This Row],[qtySaldoAkhir2025]]*tablet[[#This Row],[hargaSatuan]]</f>
        <v>0</v>
      </c>
      <c r="S80" s="32">
        <f t="shared" si="2"/>
        <v>0</v>
      </c>
      <c r="T80" s="32">
        <f t="shared" si="3"/>
        <v>0</v>
      </c>
    </row>
    <row r="81" spans="1:20" ht="14.4" x14ac:dyDescent="0.3">
      <c r="A81" s="44">
        <v>72</v>
      </c>
      <c r="B81" s="45" t="s">
        <v>138</v>
      </c>
      <c r="C81" s="46" t="s">
        <v>120</v>
      </c>
      <c r="D81" s="47" t="s">
        <v>140</v>
      </c>
      <c r="E81" s="48">
        <v>46599</v>
      </c>
      <c r="F81" s="49">
        <v>202575</v>
      </c>
      <c r="G81" s="45" t="s">
        <v>40</v>
      </c>
      <c r="H81" s="50">
        <v>0</v>
      </c>
      <c r="I81" s="49">
        <f>tablet[[#This Row],[qtySaldoAwalSem1]]*tablet[[#This Row],[hargaSatuan]]</f>
        <v>0</v>
      </c>
      <c r="J81" s="50">
        <v>5</v>
      </c>
      <c r="K81" s="51">
        <f>tablet[[#This Row],[qtyTerima2025]]*tablet[[#This Row],[hargaSatuan]]</f>
        <v>1012875</v>
      </c>
      <c r="L81" s="50">
        <v>0</v>
      </c>
      <c r="M81" s="51">
        <f>tablet[[#This Row],[qtyDist2025]]*tablet[[#This Row],[hargaSatuan]]</f>
        <v>0</v>
      </c>
      <c r="N81" s="50">
        <v>0</v>
      </c>
      <c r="O81" s="51">
        <f>tablet[[#This Row],[qtyEd2025]]*tablet[[#This Row],[hargaSatuan]]</f>
        <v>0</v>
      </c>
      <c r="P81" s="50">
        <v>5</v>
      </c>
      <c r="Q81" s="52">
        <f>tablet[[#This Row],[qtySaldoAkhir2025]]*tablet[[#This Row],[hargaSatuan]]</f>
        <v>1012875</v>
      </c>
      <c r="S81" s="32">
        <f t="shared" si="2"/>
        <v>1012875</v>
      </c>
      <c r="T81" s="32">
        <f t="shared" si="3"/>
        <v>0</v>
      </c>
    </row>
    <row r="82" spans="1:20" ht="14.4" x14ac:dyDescent="0.3">
      <c r="A82" s="44">
        <v>73</v>
      </c>
      <c r="B82" s="45" t="s">
        <v>141</v>
      </c>
      <c r="C82" s="46" t="s">
        <v>52</v>
      </c>
      <c r="D82" s="47" t="s">
        <v>142</v>
      </c>
      <c r="E82" s="48">
        <v>46082</v>
      </c>
      <c r="F82" s="49">
        <v>196</v>
      </c>
      <c r="G82" s="45" t="s">
        <v>54</v>
      </c>
      <c r="H82" s="50">
        <v>1800</v>
      </c>
      <c r="I82" s="49">
        <f>tablet[[#This Row],[qtySaldoAwalSem1]]*tablet[[#This Row],[hargaSatuan]]</f>
        <v>352800</v>
      </c>
      <c r="J82" s="50">
        <v>0</v>
      </c>
      <c r="K82" s="51">
        <f>tablet[[#This Row],[qtyTerima2025]]*tablet[[#This Row],[hargaSatuan]]</f>
        <v>0</v>
      </c>
      <c r="L82" s="50">
        <v>1800</v>
      </c>
      <c r="M82" s="51">
        <f>tablet[[#This Row],[qtyDist2025]]*tablet[[#This Row],[hargaSatuan]]</f>
        <v>352800</v>
      </c>
      <c r="N82" s="50">
        <v>0</v>
      </c>
      <c r="O82" s="51">
        <f>tablet[[#This Row],[qtyEd2025]]*tablet[[#This Row],[hargaSatuan]]</f>
        <v>0</v>
      </c>
      <c r="P82" s="50">
        <v>0</v>
      </c>
      <c r="Q82" s="52">
        <f>tablet[[#This Row],[qtySaldoAkhir2025]]*tablet[[#This Row],[hargaSatuan]]</f>
        <v>0</v>
      </c>
      <c r="S82" s="32">
        <f t="shared" si="2"/>
        <v>0</v>
      </c>
      <c r="T82" s="32">
        <f t="shared" si="3"/>
        <v>0</v>
      </c>
    </row>
    <row r="83" spans="1:20" ht="14.4" x14ac:dyDescent="0.3">
      <c r="A83" s="44">
        <v>74</v>
      </c>
      <c r="B83" s="45" t="s">
        <v>143</v>
      </c>
      <c r="C83" s="46" t="s">
        <v>52</v>
      </c>
      <c r="D83" s="47" t="s">
        <v>144</v>
      </c>
      <c r="E83" s="48">
        <v>46478</v>
      </c>
      <c r="F83" s="49">
        <v>641</v>
      </c>
      <c r="G83" s="45" t="s">
        <v>54</v>
      </c>
      <c r="H83" s="50">
        <v>7600</v>
      </c>
      <c r="I83" s="49">
        <f>tablet[[#This Row],[qtySaldoAwalSem1]]*tablet[[#This Row],[hargaSatuan]]</f>
        <v>4871600</v>
      </c>
      <c r="J83" s="50">
        <v>0</v>
      </c>
      <c r="K83" s="51">
        <f>tablet[[#This Row],[qtyTerima2025]]*tablet[[#This Row],[hargaSatuan]]</f>
        <v>0</v>
      </c>
      <c r="L83" s="50">
        <v>7600</v>
      </c>
      <c r="M83" s="51">
        <f>tablet[[#This Row],[qtyDist2025]]*tablet[[#This Row],[hargaSatuan]]</f>
        <v>4871600</v>
      </c>
      <c r="N83" s="50">
        <v>0</v>
      </c>
      <c r="O83" s="51">
        <f>tablet[[#This Row],[qtyEd2025]]*tablet[[#This Row],[hargaSatuan]]</f>
        <v>0</v>
      </c>
      <c r="P83" s="50">
        <v>0</v>
      </c>
      <c r="Q83" s="52">
        <f>tablet[[#This Row],[qtySaldoAkhir2025]]*tablet[[#This Row],[hargaSatuan]]</f>
        <v>0</v>
      </c>
      <c r="S83" s="32">
        <f t="shared" si="2"/>
        <v>0</v>
      </c>
      <c r="T83" s="32">
        <f t="shared" si="3"/>
        <v>0</v>
      </c>
    </row>
    <row r="84" spans="1:20" ht="14.4" x14ac:dyDescent="0.3">
      <c r="A84" s="44">
        <v>75</v>
      </c>
      <c r="B84" s="45" t="s">
        <v>143</v>
      </c>
      <c r="C84" s="46" t="s">
        <v>52</v>
      </c>
      <c r="D84" s="47" t="s">
        <v>145</v>
      </c>
      <c r="E84" s="48">
        <v>46537</v>
      </c>
      <c r="F84" s="49">
        <v>417</v>
      </c>
      <c r="G84" s="45" t="s">
        <v>18</v>
      </c>
      <c r="H84" s="50">
        <v>0</v>
      </c>
      <c r="I84" s="49">
        <f>tablet[[#This Row],[qtySaldoAwalSem1]]*tablet[[#This Row],[hargaSatuan]]</f>
        <v>0</v>
      </c>
      <c r="J84" s="50">
        <v>5000</v>
      </c>
      <c r="K84" s="51">
        <f>tablet[[#This Row],[qtyTerima2025]]*tablet[[#This Row],[hargaSatuan]]</f>
        <v>2085000</v>
      </c>
      <c r="L84" s="50">
        <v>800</v>
      </c>
      <c r="M84" s="51">
        <f>tablet[[#This Row],[qtyDist2025]]*tablet[[#This Row],[hargaSatuan]]</f>
        <v>333600</v>
      </c>
      <c r="N84" s="50">
        <v>0</v>
      </c>
      <c r="O84" s="51">
        <f>tablet[[#This Row],[qtyEd2025]]*tablet[[#This Row],[hargaSatuan]]</f>
        <v>0</v>
      </c>
      <c r="P84" s="50">
        <v>4200</v>
      </c>
      <c r="Q84" s="52">
        <f>tablet[[#This Row],[qtySaldoAkhir2025]]*tablet[[#This Row],[hargaSatuan]]</f>
        <v>1751400</v>
      </c>
      <c r="S84" s="32">
        <f t="shared" si="2"/>
        <v>1751400</v>
      </c>
      <c r="T84" s="32">
        <f t="shared" si="3"/>
        <v>0</v>
      </c>
    </row>
    <row r="85" spans="1:20" ht="14.4" x14ac:dyDescent="0.3">
      <c r="A85" s="44">
        <v>76</v>
      </c>
      <c r="B85" s="45" t="s">
        <v>146</v>
      </c>
      <c r="C85" s="46" t="s">
        <v>147</v>
      </c>
      <c r="D85" s="47" t="s">
        <v>148</v>
      </c>
      <c r="E85" s="48">
        <v>45839</v>
      </c>
      <c r="F85" s="49">
        <v>490</v>
      </c>
      <c r="G85" s="45" t="s">
        <v>40</v>
      </c>
      <c r="H85" s="50">
        <v>200</v>
      </c>
      <c r="I85" s="49">
        <f>tablet[[#This Row],[qtySaldoAwalSem1]]*tablet[[#This Row],[hargaSatuan]]</f>
        <v>98000</v>
      </c>
      <c r="J85" s="50">
        <v>0</v>
      </c>
      <c r="K85" s="51">
        <f>tablet[[#This Row],[qtyTerima2025]]*tablet[[#This Row],[hargaSatuan]]</f>
        <v>0</v>
      </c>
      <c r="L85" s="50">
        <v>200</v>
      </c>
      <c r="M85" s="51">
        <f>tablet[[#This Row],[qtyDist2025]]*tablet[[#This Row],[hargaSatuan]]</f>
        <v>98000</v>
      </c>
      <c r="N85" s="50">
        <v>0</v>
      </c>
      <c r="O85" s="51">
        <f>tablet[[#This Row],[qtyEd2025]]*tablet[[#This Row],[hargaSatuan]]</f>
        <v>0</v>
      </c>
      <c r="P85" s="50">
        <v>0</v>
      </c>
      <c r="Q85" s="52">
        <f>tablet[[#This Row],[qtySaldoAkhir2025]]*tablet[[#This Row],[hargaSatuan]]</f>
        <v>0</v>
      </c>
      <c r="S85" s="32">
        <f t="shared" si="2"/>
        <v>0</v>
      </c>
      <c r="T85" s="32">
        <f t="shared" si="3"/>
        <v>0</v>
      </c>
    </row>
    <row r="86" spans="1:20" ht="14.4" x14ac:dyDescent="0.3">
      <c r="A86" s="44">
        <v>77</v>
      </c>
      <c r="B86" s="45" t="s">
        <v>146</v>
      </c>
      <c r="C86" s="46" t="s">
        <v>147</v>
      </c>
      <c r="D86" s="47" t="s">
        <v>149</v>
      </c>
      <c r="E86" s="48">
        <v>45962</v>
      </c>
      <c r="F86" s="49">
        <v>280</v>
      </c>
      <c r="G86" s="45" t="s">
        <v>40</v>
      </c>
      <c r="H86" s="50">
        <v>0</v>
      </c>
      <c r="I86" s="49">
        <f>tablet[[#This Row],[qtySaldoAwalSem1]]*tablet[[#This Row],[hargaSatuan]]</f>
        <v>0</v>
      </c>
      <c r="J86" s="50">
        <v>3600</v>
      </c>
      <c r="K86" s="51">
        <f>tablet[[#This Row],[qtyTerima2025]]*tablet[[#This Row],[hargaSatuan]]</f>
        <v>1008000</v>
      </c>
      <c r="L86" s="50">
        <v>3600</v>
      </c>
      <c r="M86" s="51">
        <f>tablet[[#This Row],[qtyDist2025]]*tablet[[#This Row],[hargaSatuan]]</f>
        <v>1008000</v>
      </c>
      <c r="N86" s="50">
        <v>0</v>
      </c>
      <c r="O86" s="51">
        <f>tablet[[#This Row],[qtyEd2025]]*tablet[[#This Row],[hargaSatuan]]</f>
        <v>0</v>
      </c>
      <c r="P86" s="50">
        <v>0</v>
      </c>
      <c r="Q86" s="52">
        <f>tablet[[#This Row],[qtySaldoAkhir2025]]*tablet[[#This Row],[hargaSatuan]]</f>
        <v>0</v>
      </c>
      <c r="S86" s="32">
        <f t="shared" si="2"/>
        <v>0</v>
      </c>
      <c r="T86" s="32">
        <f t="shared" si="3"/>
        <v>0</v>
      </c>
    </row>
    <row r="87" spans="1:20" ht="14.4" x14ac:dyDescent="0.3">
      <c r="A87" s="44">
        <v>78</v>
      </c>
      <c r="B87" s="45" t="s">
        <v>146</v>
      </c>
      <c r="C87" s="46" t="s">
        <v>147</v>
      </c>
      <c r="D87" s="47" t="s">
        <v>150</v>
      </c>
      <c r="E87" s="48">
        <v>46081</v>
      </c>
      <c r="F87" s="49">
        <v>280</v>
      </c>
      <c r="G87" s="45" t="s">
        <v>40</v>
      </c>
      <c r="H87" s="50">
        <v>0</v>
      </c>
      <c r="I87" s="49">
        <f>tablet[[#This Row],[qtySaldoAwalSem1]]*tablet[[#This Row],[hargaSatuan]]</f>
        <v>0</v>
      </c>
      <c r="J87" s="50">
        <v>14400</v>
      </c>
      <c r="K87" s="51">
        <f>tablet[[#This Row],[qtyTerima2025]]*tablet[[#This Row],[hargaSatuan]]</f>
        <v>4032000</v>
      </c>
      <c r="L87" s="50">
        <v>6900</v>
      </c>
      <c r="M87" s="51">
        <f>tablet[[#This Row],[qtyDist2025]]*tablet[[#This Row],[hargaSatuan]]</f>
        <v>1932000</v>
      </c>
      <c r="N87" s="50">
        <v>0</v>
      </c>
      <c r="O87" s="51">
        <f>tablet[[#This Row],[qtyEd2025]]*tablet[[#This Row],[hargaSatuan]]</f>
        <v>0</v>
      </c>
      <c r="P87" s="50">
        <v>7500</v>
      </c>
      <c r="Q87" s="52">
        <f>tablet[[#This Row],[qtySaldoAkhir2025]]*tablet[[#This Row],[hargaSatuan]]</f>
        <v>2100000</v>
      </c>
      <c r="S87" s="32">
        <f t="shared" si="2"/>
        <v>2100000</v>
      </c>
      <c r="T87" s="32">
        <f t="shared" si="3"/>
        <v>0</v>
      </c>
    </row>
    <row r="88" spans="1:20" ht="14.4" x14ac:dyDescent="0.3">
      <c r="A88" s="44">
        <v>79</v>
      </c>
      <c r="B88" s="45" t="s">
        <v>146</v>
      </c>
      <c r="C88" s="46" t="s">
        <v>147</v>
      </c>
      <c r="D88" s="47" t="s">
        <v>148</v>
      </c>
      <c r="E88" s="48">
        <v>45839</v>
      </c>
      <c r="F88" s="49">
        <v>280</v>
      </c>
      <c r="G88" s="45" t="s">
        <v>40</v>
      </c>
      <c r="H88" s="50">
        <v>0</v>
      </c>
      <c r="I88" s="49">
        <f>tablet[[#This Row],[qtySaldoAwalSem1]]*tablet[[#This Row],[hargaSatuan]]</f>
        <v>0</v>
      </c>
      <c r="J88" s="50">
        <v>1800</v>
      </c>
      <c r="K88" s="51">
        <f>tablet[[#This Row],[qtyTerima2025]]*tablet[[#This Row],[hargaSatuan]]</f>
        <v>504000</v>
      </c>
      <c r="L88" s="50">
        <v>1800</v>
      </c>
      <c r="M88" s="51">
        <f>tablet[[#This Row],[qtyDist2025]]*tablet[[#This Row],[hargaSatuan]]</f>
        <v>504000</v>
      </c>
      <c r="N88" s="50">
        <v>0</v>
      </c>
      <c r="O88" s="51">
        <f>tablet[[#This Row],[qtyEd2025]]*tablet[[#This Row],[hargaSatuan]]</f>
        <v>0</v>
      </c>
      <c r="P88" s="50">
        <v>0</v>
      </c>
      <c r="Q88" s="52">
        <f>tablet[[#This Row],[qtySaldoAkhir2025]]*tablet[[#This Row],[hargaSatuan]]</f>
        <v>0</v>
      </c>
      <c r="S88" s="32">
        <f t="shared" si="2"/>
        <v>0</v>
      </c>
      <c r="T88" s="32">
        <f t="shared" si="3"/>
        <v>0</v>
      </c>
    </row>
    <row r="89" spans="1:20" ht="14.4" x14ac:dyDescent="0.3">
      <c r="A89" s="44">
        <v>80</v>
      </c>
      <c r="B89" s="45" t="s">
        <v>146</v>
      </c>
      <c r="C89" s="46" t="s">
        <v>147</v>
      </c>
      <c r="D89" s="47">
        <v>86373136</v>
      </c>
      <c r="E89" s="48">
        <v>46538</v>
      </c>
      <c r="F89" s="49">
        <v>739</v>
      </c>
      <c r="G89" s="45" t="s">
        <v>18</v>
      </c>
      <c r="H89" s="50">
        <v>0</v>
      </c>
      <c r="I89" s="49">
        <f>tablet[[#This Row],[qtySaldoAwalSem1]]*tablet[[#This Row],[hargaSatuan]]</f>
        <v>0</v>
      </c>
      <c r="J89" s="50">
        <v>5880</v>
      </c>
      <c r="K89" s="51">
        <f>tablet[[#This Row],[qtyTerima2025]]*tablet[[#This Row],[hargaSatuan]]</f>
        <v>4345320</v>
      </c>
      <c r="L89" s="50">
        <v>0</v>
      </c>
      <c r="M89" s="51">
        <f>tablet[[#This Row],[qtyDist2025]]*tablet[[#This Row],[hargaSatuan]]</f>
        <v>0</v>
      </c>
      <c r="N89" s="50">
        <v>0</v>
      </c>
      <c r="O89" s="51">
        <f>tablet[[#This Row],[qtyEd2025]]*tablet[[#This Row],[hargaSatuan]]</f>
        <v>0</v>
      </c>
      <c r="P89" s="50">
        <v>5880</v>
      </c>
      <c r="Q89" s="52">
        <f>tablet[[#This Row],[qtySaldoAkhir2025]]*tablet[[#This Row],[hargaSatuan]]</f>
        <v>4345320</v>
      </c>
      <c r="S89" s="32">
        <f t="shared" si="2"/>
        <v>4345320</v>
      </c>
      <c r="T89" s="32">
        <f t="shared" si="3"/>
        <v>0</v>
      </c>
    </row>
    <row r="90" spans="1:20" ht="14.4" x14ac:dyDescent="0.3">
      <c r="A90" s="44">
        <v>81</v>
      </c>
      <c r="B90" s="45" t="s">
        <v>151</v>
      </c>
      <c r="C90" s="46" t="s">
        <v>52</v>
      </c>
      <c r="D90" s="47" t="s">
        <v>152</v>
      </c>
      <c r="E90" s="48">
        <v>45992</v>
      </c>
      <c r="F90" s="49">
        <v>200</v>
      </c>
      <c r="G90" s="45" t="s">
        <v>54</v>
      </c>
      <c r="H90" s="50">
        <v>17200</v>
      </c>
      <c r="I90" s="49">
        <f>tablet[[#This Row],[qtySaldoAwalSem1]]*tablet[[#This Row],[hargaSatuan]]</f>
        <v>3440000</v>
      </c>
      <c r="J90" s="50">
        <v>0</v>
      </c>
      <c r="K90" s="51">
        <f>tablet[[#This Row],[qtyTerima2025]]*tablet[[#This Row],[hargaSatuan]]</f>
        <v>0</v>
      </c>
      <c r="L90" s="50">
        <v>17200</v>
      </c>
      <c r="M90" s="51">
        <f>tablet[[#This Row],[qtyDist2025]]*tablet[[#This Row],[hargaSatuan]]</f>
        <v>3440000</v>
      </c>
      <c r="N90" s="50">
        <v>0</v>
      </c>
      <c r="O90" s="51">
        <f>tablet[[#This Row],[qtyEd2025]]*tablet[[#This Row],[hargaSatuan]]</f>
        <v>0</v>
      </c>
      <c r="P90" s="50">
        <v>0</v>
      </c>
      <c r="Q90" s="52">
        <f>tablet[[#This Row],[qtySaldoAkhir2025]]*tablet[[#This Row],[hargaSatuan]]</f>
        <v>0</v>
      </c>
      <c r="S90" s="32">
        <f t="shared" si="2"/>
        <v>0</v>
      </c>
      <c r="T90" s="32">
        <f t="shared" si="3"/>
        <v>0</v>
      </c>
    </row>
    <row r="91" spans="1:20" ht="14.4" x14ac:dyDescent="0.3">
      <c r="A91" s="44">
        <v>82</v>
      </c>
      <c r="B91" s="45" t="s">
        <v>151</v>
      </c>
      <c r="C91" s="46" t="s">
        <v>52</v>
      </c>
      <c r="D91" s="47" t="s">
        <v>153</v>
      </c>
      <c r="E91" s="48">
        <v>46082</v>
      </c>
      <c r="F91" s="49">
        <v>200</v>
      </c>
      <c r="G91" s="45" t="s">
        <v>54</v>
      </c>
      <c r="H91" s="50">
        <v>55700</v>
      </c>
      <c r="I91" s="49">
        <f>tablet[[#This Row],[qtySaldoAwalSem1]]*tablet[[#This Row],[hargaSatuan]]</f>
        <v>11140000</v>
      </c>
      <c r="J91" s="50">
        <v>0</v>
      </c>
      <c r="K91" s="51">
        <f>tablet[[#This Row],[qtyTerima2025]]*tablet[[#This Row],[hargaSatuan]]</f>
        <v>0</v>
      </c>
      <c r="L91" s="50">
        <v>55700</v>
      </c>
      <c r="M91" s="51">
        <f>tablet[[#This Row],[qtyDist2025]]*tablet[[#This Row],[hargaSatuan]]</f>
        <v>11140000</v>
      </c>
      <c r="N91" s="50">
        <v>0</v>
      </c>
      <c r="O91" s="51">
        <f>tablet[[#This Row],[qtyEd2025]]*tablet[[#This Row],[hargaSatuan]]</f>
        <v>0</v>
      </c>
      <c r="P91" s="50">
        <v>0</v>
      </c>
      <c r="Q91" s="52">
        <f>tablet[[#This Row],[qtySaldoAkhir2025]]*tablet[[#This Row],[hargaSatuan]]</f>
        <v>0</v>
      </c>
      <c r="S91" s="32">
        <f t="shared" si="2"/>
        <v>0</v>
      </c>
      <c r="T91" s="32">
        <f t="shared" si="3"/>
        <v>0</v>
      </c>
    </row>
    <row r="92" spans="1:20" ht="14.4" x14ac:dyDescent="0.3">
      <c r="A92" s="44">
        <v>83</v>
      </c>
      <c r="B92" s="45" t="s">
        <v>154</v>
      </c>
      <c r="C92" s="46" t="s">
        <v>52</v>
      </c>
      <c r="D92" s="47" t="s">
        <v>155</v>
      </c>
      <c r="E92" s="48">
        <v>46054</v>
      </c>
      <c r="F92" s="49">
        <v>120</v>
      </c>
      <c r="G92" s="45" t="s">
        <v>43</v>
      </c>
      <c r="H92" s="50">
        <v>12000</v>
      </c>
      <c r="I92" s="49">
        <f>tablet[[#This Row],[qtySaldoAwalSem1]]*tablet[[#This Row],[hargaSatuan]]</f>
        <v>1440000</v>
      </c>
      <c r="J92" s="50">
        <v>0</v>
      </c>
      <c r="K92" s="51">
        <f>tablet[[#This Row],[qtyTerima2025]]*tablet[[#This Row],[hargaSatuan]]</f>
        <v>0</v>
      </c>
      <c r="L92" s="50">
        <v>12000</v>
      </c>
      <c r="M92" s="51">
        <f>tablet[[#This Row],[qtyDist2025]]*tablet[[#This Row],[hargaSatuan]]</f>
        <v>1440000</v>
      </c>
      <c r="N92" s="50">
        <v>0</v>
      </c>
      <c r="O92" s="51">
        <f>tablet[[#This Row],[qtyEd2025]]*tablet[[#This Row],[hargaSatuan]]</f>
        <v>0</v>
      </c>
      <c r="P92" s="50">
        <v>0</v>
      </c>
      <c r="Q92" s="52">
        <f>tablet[[#This Row],[qtySaldoAkhir2025]]*tablet[[#This Row],[hargaSatuan]]</f>
        <v>0</v>
      </c>
      <c r="S92" s="32">
        <f t="shared" si="2"/>
        <v>0</v>
      </c>
      <c r="T92" s="32">
        <f t="shared" si="3"/>
        <v>0</v>
      </c>
    </row>
    <row r="93" spans="1:20" ht="14.4" x14ac:dyDescent="0.3">
      <c r="A93" s="44">
        <v>84</v>
      </c>
      <c r="B93" s="45" t="s">
        <v>154</v>
      </c>
      <c r="C93" s="46" t="s">
        <v>52</v>
      </c>
      <c r="D93" s="47" t="s">
        <v>156</v>
      </c>
      <c r="E93" s="48">
        <v>46054</v>
      </c>
      <c r="F93" s="49">
        <v>120</v>
      </c>
      <c r="G93" s="45" t="s">
        <v>43</v>
      </c>
      <c r="H93" s="50">
        <v>44800</v>
      </c>
      <c r="I93" s="49">
        <f>tablet[[#This Row],[qtySaldoAwalSem1]]*tablet[[#This Row],[hargaSatuan]]</f>
        <v>5376000</v>
      </c>
      <c r="J93" s="50">
        <v>0</v>
      </c>
      <c r="K93" s="51">
        <f>tablet[[#This Row],[qtyTerima2025]]*tablet[[#This Row],[hargaSatuan]]</f>
        <v>0</v>
      </c>
      <c r="L93" s="50">
        <v>1500</v>
      </c>
      <c r="M93" s="51">
        <f>tablet[[#This Row],[qtyDist2025]]*tablet[[#This Row],[hargaSatuan]]</f>
        <v>180000</v>
      </c>
      <c r="N93" s="50">
        <v>0</v>
      </c>
      <c r="O93" s="51">
        <f>tablet[[#This Row],[qtyEd2025]]*tablet[[#This Row],[hargaSatuan]]</f>
        <v>0</v>
      </c>
      <c r="P93" s="50">
        <v>43300</v>
      </c>
      <c r="Q93" s="52">
        <f>tablet[[#This Row],[qtySaldoAkhir2025]]*tablet[[#This Row],[hargaSatuan]]</f>
        <v>5196000</v>
      </c>
      <c r="S93" s="32">
        <f t="shared" si="2"/>
        <v>5196000</v>
      </c>
      <c r="T93" s="32">
        <f t="shared" si="3"/>
        <v>0</v>
      </c>
    </row>
    <row r="94" spans="1:20" ht="14.4" x14ac:dyDescent="0.3">
      <c r="A94" s="44">
        <v>85</v>
      </c>
      <c r="B94" s="45" t="s">
        <v>157</v>
      </c>
      <c r="C94" s="46" t="s">
        <v>52</v>
      </c>
      <c r="D94" s="47" t="s">
        <v>158</v>
      </c>
      <c r="E94" s="48">
        <v>46508</v>
      </c>
      <c r="F94" s="49">
        <v>198</v>
      </c>
      <c r="G94" s="45" t="s">
        <v>43</v>
      </c>
      <c r="H94" s="50">
        <v>1000</v>
      </c>
      <c r="I94" s="49">
        <f>tablet[[#This Row],[qtySaldoAwalSem1]]*tablet[[#This Row],[hargaSatuan]]</f>
        <v>198000</v>
      </c>
      <c r="J94" s="50">
        <v>0</v>
      </c>
      <c r="K94" s="51">
        <f>tablet[[#This Row],[qtyTerima2025]]*tablet[[#This Row],[hargaSatuan]]</f>
        <v>0</v>
      </c>
      <c r="L94" s="50">
        <v>1000</v>
      </c>
      <c r="M94" s="51">
        <f>tablet[[#This Row],[qtyDist2025]]*tablet[[#This Row],[hargaSatuan]]</f>
        <v>198000</v>
      </c>
      <c r="N94" s="50">
        <v>0</v>
      </c>
      <c r="O94" s="51">
        <f>tablet[[#This Row],[qtyEd2025]]*tablet[[#This Row],[hargaSatuan]]</f>
        <v>0</v>
      </c>
      <c r="P94" s="50">
        <v>0</v>
      </c>
      <c r="Q94" s="52">
        <f>tablet[[#This Row],[qtySaldoAkhir2025]]*tablet[[#This Row],[hargaSatuan]]</f>
        <v>0</v>
      </c>
      <c r="S94" s="32">
        <f t="shared" si="2"/>
        <v>0</v>
      </c>
      <c r="T94" s="32">
        <f t="shared" si="3"/>
        <v>0</v>
      </c>
    </row>
    <row r="95" spans="1:20" ht="14.4" x14ac:dyDescent="0.3">
      <c r="A95" s="44">
        <v>86</v>
      </c>
      <c r="B95" s="45" t="s">
        <v>157</v>
      </c>
      <c r="C95" s="46" t="s">
        <v>52</v>
      </c>
      <c r="D95" s="47" t="s">
        <v>159</v>
      </c>
      <c r="E95" s="48">
        <v>46753</v>
      </c>
      <c r="F95" s="49">
        <v>198</v>
      </c>
      <c r="G95" s="45" t="s">
        <v>54</v>
      </c>
      <c r="H95" s="50">
        <v>120000</v>
      </c>
      <c r="I95" s="49">
        <f>tablet[[#This Row],[qtySaldoAwalSem1]]*tablet[[#This Row],[hargaSatuan]]</f>
        <v>23760000</v>
      </c>
      <c r="J95" s="50">
        <v>0</v>
      </c>
      <c r="K95" s="51">
        <f>tablet[[#This Row],[qtyTerima2025]]*tablet[[#This Row],[hargaSatuan]]</f>
        <v>0</v>
      </c>
      <c r="L95" s="50">
        <v>94800</v>
      </c>
      <c r="M95" s="51">
        <f>tablet[[#This Row],[qtyDist2025]]*tablet[[#This Row],[hargaSatuan]]</f>
        <v>18770400</v>
      </c>
      <c r="N95" s="50">
        <v>0</v>
      </c>
      <c r="O95" s="51">
        <f>tablet[[#This Row],[qtyEd2025]]*tablet[[#This Row],[hargaSatuan]]</f>
        <v>0</v>
      </c>
      <c r="P95" s="50">
        <v>25200</v>
      </c>
      <c r="Q95" s="52">
        <f>tablet[[#This Row],[qtySaldoAkhir2025]]*tablet[[#This Row],[hargaSatuan]]</f>
        <v>4989600</v>
      </c>
      <c r="S95" s="32">
        <f t="shared" si="2"/>
        <v>4989600</v>
      </c>
      <c r="T95" s="32">
        <f t="shared" si="3"/>
        <v>0</v>
      </c>
    </row>
    <row r="96" spans="1:20" ht="14.4" x14ac:dyDescent="0.3">
      <c r="A96" s="44">
        <v>87</v>
      </c>
      <c r="B96" s="45" t="s">
        <v>160</v>
      </c>
      <c r="C96" s="46" t="s">
        <v>52</v>
      </c>
      <c r="D96" s="47" t="s">
        <v>161</v>
      </c>
      <c r="E96" s="48">
        <v>46204</v>
      </c>
      <c r="F96" s="49">
        <v>310</v>
      </c>
      <c r="G96" s="45" t="s">
        <v>43</v>
      </c>
      <c r="H96" s="50">
        <v>95200</v>
      </c>
      <c r="I96" s="49">
        <f>tablet[[#This Row],[qtySaldoAwalSem1]]*tablet[[#This Row],[hargaSatuan]]</f>
        <v>29512000</v>
      </c>
      <c r="J96" s="50">
        <v>0</v>
      </c>
      <c r="K96" s="51">
        <f>tablet[[#This Row],[qtyTerima2025]]*tablet[[#This Row],[hargaSatuan]]</f>
        <v>0</v>
      </c>
      <c r="L96" s="50">
        <v>13000</v>
      </c>
      <c r="M96" s="51">
        <f>tablet[[#This Row],[qtyDist2025]]*tablet[[#This Row],[hargaSatuan]]</f>
        <v>4030000</v>
      </c>
      <c r="N96" s="50">
        <v>0</v>
      </c>
      <c r="O96" s="51">
        <f>tablet[[#This Row],[qtyEd2025]]*tablet[[#This Row],[hargaSatuan]]</f>
        <v>0</v>
      </c>
      <c r="P96" s="50">
        <v>82200</v>
      </c>
      <c r="Q96" s="52">
        <f>tablet[[#This Row],[qtySaldoAkhir2025]]*tablet[[#This Row],[hargaSatuan]]</f>
        <v>25482000</v>
      </c>
      <c r="S96" s="32">
        <f t="shared" si="2"/>
        <v>25482000</v>
      </c>
      <c r="T96" s="32">
        <f t="shared" si="3"/>
        <v>0</v>
      </c>
    </row>
    <row r="97" spans="1:59" ht="14.4" x14ac:dyDescent="0.3">
      <c r="A97" s="44">
        <v>88</v>
      </c>
      <c r="B97" s="45" t="s">
        <v>162</v>
      </c>
      <c r="C97" s="46" t="s">
        <v>52</v>
      </c>
      <c r="D97" s="47">
        <v>1401153</v>
      </c>
      <c r="E97" s="48">
        <v>46388</v>
      </c>
      <c r="F97" s="49">
        <v>181</v>
      </c>
      <c r="G97" s="45" t="s">
        <v>40</v>
      </c>
      <c r="H97" s="50">
        <v>4000</v>
      </c>
      <c r="I97" s="49">
        <f>tablet[[#This Row],[qtySaldoAwalSem1]]*tablet[[#This Row],[hargaSatuan]]</f>
        <v>724000</v>
      </c>
      <c r="J97" s="50">
        <v>0</v>
      </c>
      <c r="K97" s="51">
        <f>tablet[[#This Row],[qtyTerima2025]]*tablet[[#This Row],[hargaSatuan]]</f>
        <v>0</v>
      </c>
      <c r="L97" s="50">
        <v>0</v>
      </c>
      <c r="M97" s="51">
        <f>tablet[[#This Row],[qtyDist2025]]*tablet[[#This Row],[hargaSatuan]]</f>
        <v>0</v>
      </c>
      <c r="N97" s="50">
        <v>0</v>
      </c>
      <c r="O97" s="51">
        <f>tablet[[#This Row],[qtyEd2025]]*tablet[[#This Row],[hargaSatuan]]</f>
        <v>0</v>
      </c>
      <c r="P97" s="50">
        <v>4000</v>
      </c>
      <c r="Q97" s="52">
        <f>tablet[[#This Row],[qtySaldoAkhir2025]]*tablet[[#This Row],[hargaSatuan]]</f>
        <v>724000</v>
      </c>
      <c r="S97" s="32">
        <f t="shared" si="2"/>
        <v>724000</v>
      </c>
      <c r="T97" s="32">
        <f t="shared" si="3"/>
        <v>0</v>
      </c>
    </row>
    <row r="98" spans="1:59" ht="14.4" x14ac:dyDescent="0.3">
      <c r="A98" s="44">
        <v>89</v>
      </c>
      <c r="B98" s="45" t="s">
        <v>162</v>
      </c>
      <c r="C98" s="46" t="s">
        <v>52</v>
      </c>
      <c r="D98" s="47" t="s">
        <v>163</v>
      </c>
      <c r="E98" s="48">
        <v>46143</v>
      </c>
      <c r="F98" s="49">
        <v>190</v>
      </c>
      <c r="G98" s="45" t="s">
        <v>54</v>
      </c>
      <c r="H98" s="50">
        <v>10600</v>
      </c>
      <c r="I98" s="49">
        <f>tablet[[#This Row],[qtySaldoAwalSem1]]*tablet[[#This Row],[hargaSatuan]]</f>
        <v>2014000</v>
      </c>
      <c r="J98" s="50">
        <v>0</v>
      </c>
      <c r="K98" s="51">
        <f>tablet[[#This Row],[qtyTerima2025]]*tablet[[#This Row],[hargaSatuan]]</f>
        <v>0</v>
      </c>
      <c r="L98" s="50">
        <v>10600</v>
      </c>
      <c r="M98" s="51">
        <f>tablet[[#This Row],[qtyDist2025]]*tablet[[#This Row],[hargaSatuan]]</f>
        <v>2014000</v>
      </c>
      <c r="N98" s="50">
        <v>0</v>
      </c>
      <c r="O98" s="51">
        <f>tablet[[#This Row],[qtyEd2025]]*tablet[[#This Row],[hargaSatuan]]</f>
        <v>0</v>
      </c>
      <c r="P98" s="50">
        <v>0</v>
      </c>
      <c r="Q98" s="52">
        <f>tablet[[#This Row],[qtySaldoAkhir2025]]*tablet[[#This Row],[hargaSatuan]]</f>
        <v>0</v>
      </c>
      <c r="S98" s="32">
        <f t="shared" si="2"/>
        <v>0</v>
      </c>
      <c r="T98" s="32">
        <f t="shared" si="3"/>
        <v>0</v>
      </c>
    </row>
    <row r="99" spans="1:59" ht="14.4" x14ac:dyDescent="0.3">
      <c r="A99" s="44">
        <v>90</v>
      </c>
      <c r="B99" s="45" t="s">
        <v>162</v>
      </c>
      <c r="C99" s="46" t="s">
        <v>52</v>
      </c>
      <c r="D99" s="47" t="s">
        <v>164</v>
      </c>
      <c r="E99" s="48">
        <v>46174</v>
      </c>
      <c r="F99" s="49">
        <v>190</v>
      </c>
      <c r="G99" s="45" t="s">
        <v>54</v>
      </c>
      <c r="H99" s="50">
        <v>11200</v>
      </c>
      <c r="I99" s="49">
        <f>tablet[[#This Row],[qtySaldoAwalSem1]]*tablet[[#This Row],[hargaSatuan]]</f>
        <v>2128000</v>
      </c>
      <c r="J99" s="50">
        <v>0</v>
      </c>
      <c r="K99" s="51">
        <f>tablet[[#This Row],[qtyTerima2025]]*tablet[[#This Row],[hargaSatuan]]</f>
        <v>0</v>
      </c>
      <c r="L99" s="50">
        <v>9700</v>
      </c>
      <c r="M99" s="51">
        <f>tablet[[#This Row],[qtyDist2025]]*tablet[[#This Row],[hargaSatuan]]</f>
        <v>1843000</v>
      </c>
      <c r="N99" s="50">
        <v>0</v>
      </c>
      <c r="O99" s="51">
        <f>tablet[[#This Row],[qtyEd2025]]*tablet[[#This Row],[hargaSatuan]]</f>
        <v>0</v>
      </c>
      <c r="P99" s="50">
        <v>1500</v>
      </c>
      <c r="Q99" s="52">
        <f>tablet[[#This Row],[qtySaldoAkhir2025]]*tablet[[#This Row],[hargaSatuan]]</f>
        <v>285000</v>
      </c>
      <c r="S99" s="32">
        <f t="shared" si="2"/>
        <v>285000</v>
      </c>
      <c r="T99" s="32">
        <f t="shared" si="3"/>
        <v>0</v>
      </c>
      <c r="W99" s="53"/>
    </row>
    <row r="100" spans="1:59" ht="14.4" x14ac:dyDescent="0.3">
      <c r="A100" s="44">
        <v>91</v>
      </c>
      <c r="B100" s="45" t="s">
        <v>165</v>
      </c>
      <c r="C100" s="46" t="s">
        <v>52</v>
      </c>
      <c r="D100" s="47" t="s">
        <v>166</v>
      </c>
      <c r="E100" s="48">
        <v>46357</v>
      </c>
      <c r="F100" s="49">
        <v>150.35</v>
      </c>
      <c r="G100" s="45" t="s">
        <v>54</v>
      </c>
      <c r="H100" s="50">
        <v>19100</v>
      </c>
      <c r="I100" s="49">
        <f>tablet[[#This Row],[qtySaldoAwalSem1]]*tablet[[#This Row],[hargaSatuan]]</f>
        <v>2871685</v>
      </c>
      <c r="J100" s="50">
        <v>0</v>
      </c>
      <c r="K100" s="51">
        <f>tablet[[#This Row],[qtyTerima2025]]*tablet[[#This Row],[hargaSatuan]]</f>
        <v>0</v>
      </c>
      <c r="L100" s="50">
        <v>1000</v>
      </c>
      <c r="M100" s="51">
        <f>tablet[[#This Row],[qtyDist2025]]*tablet[[#This Row],[hargaSatuan]]</f>
        <v>150350</v>
      </c>
      <c r="N100" s="50">
        <v>0</v>
      </c>
      <c r="O100" s="51">
        <f>tablet[[#This Row],[qtyEd2025]]*tablet[[#This Row],[hargaSatuan]]</f>
        <v>0</v>
      </c>
      <c r="P100" s="50">
        <v>18100</v>
      </c>
      <c r="Q100" s="52">
        <f>tablet[[#This Row],[qtySaldoAkhir2025]]*tablet[[#This Row],[hargaSatuan]]</f>
        <v>2721335</v>
      </c>
      <c r="S100" s="32">
        <f t="shared" si="2"/>
        <v>2721335</v>
      </c>
      <c r="T100" s="32">
        <f t="shared" si="3"/>
        <v>0</v>
      </c>
      <c r="W100" s="53"/>
    </row>
    <row r="101" spans="1:59" ht="14.4" x14ac:dyDescent="0.3">
      <c r="A101" s="44">
        <v>92</v>
      </c>
      <c r="B101" s="45" t="s">
        <v>165</v>
      </c>
      <c r="C101" s="46" t="s">
        <v>52</v>
      </c>
      <c r="D101" s="47" t="s">
        <v>167</v>
      </c>
      <c r="E101" s="48">
        <v>46447</v>
      </c>
      <c r="F101" s="49">
        <v>150.35</v>
      </c>
      <c r="G101" s="45" t="s">
        <v>54</v>
      </c>
      <c r="H101" s="50">
        <v>9300</v>
      </c>
      <c r="I101" s="49">
        <f>tablet[[#This Row],[qtySaldoAwalSem1]]*tablet[[#This Row],[hargaSatuan]]</f>
        <v>1398255</v>
      </c>
      <c r="J101" s="50">
        <v>0</v>
      </c>
      <c r="K101" s="51">
        <f>tablet[[#This Row],[qtyTerima2025]]*tablet[[#This Row],[hargaSatuan]]</f>
        <v>0</v>
      </c>
      <c r="L101" s="50">
        <v>0</v>
      </c>
      <c r="M101" s="51">
        <f>tablet[[#This Row],[qtyDist2025]]*tablet[[#This Row],[hargaSatuan]]</f>
        <v>0</v>
      </c>
      <c r="N101" s="50">
        <v>0</v>
      </c>
      <c r="O101" s="51">
        <f>tablet[[#This Row],[qtyEd2025]]*tablet[[#This Row],[hargaSatuan]]</f>
        <v>0</v>
      </c>
      <c r="P101" s="50">
        <v>9300</v>
      </c>
      <c r="Q101" s="52">
        <f>tablet[[#This Row],[qtySaldoAkhir2025]]*tablet[[#This Row],[hargaSatuan]]</f>
        <v>1398255</v>
      </c>
      <c r="S101" s="32">
        <f t="shared" si="2"/>
        <v>1398255</v>
      </c>
      <c r="T101" s="32">
        <f t="shared" si="3"/>
        <v>0</v>
      </c>
      <c r="W101" s="53"/>
    </row>
    <row r="102" spans="1:59" ht="14.4" x14ac:dyDescent="0.3">
      <c r="A102" s="44">
        <v>93</v>
      </c>
      <c r="B102" s="45" t="s">
        <v>168</v>
      </c>
      <c r="C102" s="46" t="s">
        <v>52</v>
      </c>
      <c r="D102" s="47">
        <v>41022</v>
      </c>
      <c r="E102" s="48">
        <v>46784</v>
      </c>
      <c r="F102" s="49">
        <v>761</v>
      </c>
      <c r="G102" s="45" t="s">
        <v>54</v>
      </c>
      <c r="H102" s="50">
        <v>15600</v>
      </c>
      <c r="I102" s="49">
        <f>tablet[[#This Row],[qtySaldoAwalSem1]]*tablet[[#This Row],[hargaSatuan]]</f>
        <v>11871600</v>
      </c>
      <c r="J102" s="50">
        <v>0</v>
      </c>
      <c r="K102" s="51">
        <f>tablet[[#This Row],[qtyTerima2025]]*tablet[[#This Row],[hargaSatuan]]</f>
        <v>0</v>
      </c>
      <c r="L102" s="50">
        <v>15600</v>
      </c>
      <c r="M102" s="51">
        <f>tablet[[#This Row],[qtyDist2025]]*tablet[[#This Row],[hargaSatuan]]</f>
        <v>11871600</v>
      </c>
      <c r="N102" s="50">
        <v>0</v>
      </c>
      <c r="O102" s="51">
        <f>tablet[[#This Row],[qtyEd2025]]*tablet[[#This Row],[hargaSatuan]]</f>
        <v>0</v>
      </c>
      <c r="P102" s="50">
        <v>0</v>
      </c>
      <c r="Q102" s="52">
        <f>tablet[[#This Row],[qtySaldoAkhir2025]]*tablet[[#This Row],[hargaSatuan]]</f>
        <v>0</v>
      </c>
      <c r="S102" s="32">
        <f t="shared" si="2"/>
        <v>0</v>
      </c>
      <c r="T102" s="32">
        <f t="shared" si="3"/>
        <v>0</v>
      </c>
    </row>
    <row r="103" spans="1:59" ht="14.4" x14ac:dyDescent="0.3">
      <c r="A103" s="44">
        <v>94</v>
      </c>
      <c r="B103" s="45" t="s">
        <v>169</v>
      </c>
      <c r="C103" s="46" t="s">
        <v>47</v>
      </c>
      <c r="D103" s="47" t="s">
        <v>170</v>
      </c>
      <c r="E103" s="48">
        <v>45961</v>
      </c>
      <c r="F103" s="49">
        <v>909</v>
      </c>
      <c r="G103" s="45" t="s">
        <v>40</v>
      </c>
      <c r="H103" s="50">
        <v>0</v>
      </c>
      <c r="I103" s="49">
        <f>tablet[[#This Row],[qtySaldoAwalSem1]]*tablet[[#This Row],[hargaSatuan]]</f>
        <v>0</v>
      </c>
      <c r="J103" s="50">
        <v>8400</v>
      </c>
      <c r="K103" s="51">
        <f>tablet[[#This Row],[qtyTerima2025]]*tablet[[#This Row],[hargaSatuan]]</f>
        <v>7635600</v>
      </c>
      <c r="L103" s="50">
        <v>7560</v>
      </c>
      <c r="M103" s="51">
        <f>tablet[[#This Row],[qtyDist2025]]*tablet[[#This Row],[hargaSatuan]]</f>
        <v>6872040</v>
      </c>
      <c r="N103" s="50">
        <v>840</v>
      </c>
      <c r="O103" s="51">
        <f>tablet[[#This Row],[qtyEd2025]]*tablet[[#This Row],[hargaSatuan]]</f>
        <v>763560</v>
      </c>
      <c r="P103" s="50">
        <v>0</v>
      </c>
      <c r="Q103" s="52">
        <f>tablet[[#This Row],[qtySaldoAkhir2025]]*tablet[[#This Row],[hargaSatuan]]</f>
        <v>0</v>
      </c>
      <c r="R103" s="53"/>
      <c r="S103" s="32">
        <f t="shared" si="2"/>
        <v>0</v>
      </c>
      <c r="T103" s="32">
        <f t="shared" si="3"/>
        <v>0</v>
      </c>
      <c r="U103" s="53"/>
      <c r="V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/>
      <c r="AR103" s="53"/>
      <c r="AS103" s="53"/>
      <c r="AT103" s="53"/>
      <c r="AU103" s="53"/>
      <c r="AV103" s="53"/>
      <c r="AW103" s="53"/>
      <c r="AX103" s="53"/>
      <c r="AY103" s="53"/>
      <c r="AZ103" s="53"/>
      <c r="BA103" s="53"/>
      <c r="BB103" s="53"/>
      <c r="BC103" s="53"/>
      <c r="BD103" s="53"/>
      <c r="BE103" s="53"/>
      <c r="BF103" s="53"/>
      <c r="BG103" s="53"/>
    </row>
    <row r="104" spans="1:59" ht="14.4" x14ac:dyDescent="0.3">
      <c r="A104" s="44">
        <v>95</v>
      </c>
      <c r="B104" s="45" t="s">
        <v>169</v>
      </c>
      <c r="C104" s="46" t="s">
        <v>47</v>
      </c>
      <c r="D104" s="47" t="s">
        <v>171</v>
      </c>
      <c r="E104" s="48">
        <v>45991</v>
      </c>
      <c r="F104" s="49">
        <v>847</v>
      </c>
      <c r="G104" s="45" t="s">
        <v>40</v>
      </c>
      <c r="H104" s="50">
        <v>0</v>
      </c>
      <c r="I104" s="49">
        <f>tablet[[#This Row],[qtySaldoAwalSem1]]*tablet[[#This Row],[hargaSatuan]]</f>
        <v>0</v>
      </c>
      <c r="J104" s="50">
        <v>756</v>
      </c>
      <c r="K104" s="51">
        <f>tablet[[#This Row],[qtyTerima2025]]*tablet[[#This Row],[hargaSatuan]]</f>
        <v>640332</v>
      </c>
      <c r="L104" s="50">
        <v>0</v>
      </c>
      <c r="M104" s="51">
        <f>tablet[[#This Row],[qtyDist2025]]*tablet[[#This Row],[hargaSatuan]]</f>
        <v>0</v>
      </c>
      <c r="N104" s="50">
        <v>756</v>
      </c>
      <c r="O104" s="51">
        <f>tablet[[#This Row],[qtyEd2025]]*tablet[[#This Row],[hargaSatuan]]</f>
        <v>640332</v>
      </c>
      <c r="P104" s="50">
        <v>0</v>
      </c>
      <c r="Q104" s="52">
        <f>tablet[[#This Row],[qtySaldoAkhir2025]]*tablet[[#This Row],[hargaSatuan]]</f>
        <v>0</v>
      </c>
      <c r="R104" s="53"/>
      <c r="S104" s="32">
        <f t="shared" si="2"/>
        <v>0</v>
      </c>
      <c r="T104" s="32">
        <f t="shared" si="3"/>
        <v>0</v>
      </c>
      <c r="U104" s="53"/>
      <c r="V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  <c r="AQ104" s="53"/>
      <c r="AR104" s="53"/>
      <c r="AS104" s="53"/>
      <c r="AT104" s="53"/>
      <c r="AU104" s="53"/>
      <c r="AV104" s="53"/>
      <c r="AW104" s="53"/>
      <c r="AX104" s="53"/>
      <c r="AY104" s="53"/>
      <c r="AZ104" s="53"/>
      <c r="BA104" s="53"/>
      <c r="BB104" s="53"/>
      <c r="BC104" s="53"/>
      <c r="BD104" s="53"/>
      <c r="BE104" s="53"/>
      <c r="BF104" s="53"/>
      <c r="BG104" s="53"/>
    </row>
    <row r="105" spans="1:59" ht="14.4" x14ac:dyDescent="0.3">
      <c r="A105" s="44">
        <v>96</v>
      </c>
      <c r="B105" s="45" t="s">
        <v>169</v>
      </c>
      <c r="C105" s="46" t="s">
        <v>47</v>
      </c>
      <c r="D105" s="47" t="s">
        <v>172</v>
      </c>
      <c r="E105" s="48">
        <v>46081</v>
      </c>
      <c r="F105" s="49">
        <v>862</v>
      </c>
      <c r="G105" s="45" t="s">
        <v>40</v>
      </c>
      <c r="H105" s="50">
        <v>0</v>
      </c>
      <c r="I105" s="49">
        <f>tablet[[#This Row],[qtySaldoAwalSem1]]*tablet[[#This Row],[hargaSatuan]]</f>
        <v>0</v>
      </c>
      <c r="J105" s="50">
        <v>3444</v>
      </c>
      <c r="K105" s="51">
        <f>tablet[[#This Row],[qtyTerima2025]]*tablet[[#This Row],[hargaSatuan]]</f>
        <v>2968728</v>
      </c>
      <c r="L105" s="50">
        <v>252</v>
      </c>
      <c r="M105" s="51">
        <f>tablet[[#This Row],[qtyDist2025]]*tablet[[#This Row],[hargaSatuan]]</f>
        <v>217224</v>
      </c>
      <c r="N105" s="50">
        <v>0</v>
      </c>
      <c r="O105" s="51">
        <f>tablet[[#This Row],[qtyEd2025]]*tablet[[#This Row],[hargaSatuan]]</f>
        <v>0</v>
      </c>
      <c r="P105" s="50">
        <v>3192</v>
      </c>
      <c r="Q105" s="52">
        <f>tablet[[#This Row],[qtySaldoAkhir2025]]*tablet[[#This Row],[hargaSatuan]]</f>
        <v>2751504</v>
      </c>
      <c r="R105" s="53"/>
      <c r="S105" s="32">
        <f t="shared" si="2"/>
        <v>2751504</v>
      </c>
      <c r="T105" s="32">
        <f t="shared" si="3"/>
        <v>0</v>
      </c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  <c r="AQ105" s="53"/>
      <c r="AR105" s="53"/>
      <c r="AS105" s="53"/>
      <c r="AT105" s="53"/>
      <c r="AU105" s="53"/>
      <c r="AV105" s="53"/>
      <c r="AW105" s="53"/>
      <c r="AX105" s="53"/>
      <c r="AY105" s="53"/>
      <c r="AZ105" s="53"/>
      <c r="BA105" s="53"/>
      <c r="BB105" s="53"/>
      <c r="BC105" s="53"/>
      <c r="BD105" s="53"/>
      <c r="BE105" s="53"/>
      <c r="BF105" s="53"/>
      <c r="BG105" s="53"/>
    </row>
    <row r="106" spans="1:59" ht="14.4" x14ac:dyDescent="0.3">
      <c r="A106" s="44">
        <v>97</v>
      </c>
      <c r="B106" s="45" t="s">
        <v>173</v>
      </c>
      <c r="C106" s="46" t="s">
        <v>52</v>
      </c>
      <c r="D106" s="47" t="s">
        <v>174</v>
      </c>
      <c r="E106" s="48">
        <v>46054</v>
      </c>
      <c r="F106" s="49">
        <v>210</v>
      </c>
      <c r="G106" s="45" t="s">
        <v>54</v>
      </c>
      <c r="H106" s="50">
        <v>11300</v>
      </c>
      <c r="I106" s="49">
        <f>tablet[[#This Row],[qtySaldoAwalSem1]]*tablet[[#This Row],[hargaSatuan]]</f>
        <v>2373000</v>
      </c>
      <c r="J106" s="50">
        <v>0</v>
      </c>
      <c r="K106" s="51">
        <f>tablet[[#This Row],[qtyTerima2025]]*tablet[[#This Row],[hargaSatuan]]</f>
        <v>0</v>
      </c>
      <c r="L106" s="50">
        <v>11300</v>
      </c>
      <c r="M106" s="51">
        <f>tablet[[#This Row],[qtyDist2025]]*tablet[[#This Row],[hargaSatuan]]</f>
        <v>2373000</v>
      </c>
      <c r="N106" s="50">
        <v>0</v>
      </c>
      <c r="O106" s="51">
        <f>tablet[[#This Row],[qtyEd2025]]*tablet[[#This Row],[hargaSatuan]]</f>
        <v>0</v>
      </c>
      <c r="P106" s="50">
        <v>0</v>
      </c>
      <c r="Q106" s="52">
        <f>tablet[[#This Row],[qtySaldoAkhir2025]]*tablet[[#This Row],[hargaSatuan]]</f>
        <v>0</v>
      </c>
      <c r="S106" s="32">
        <f t="shared" si="2"/>
        <v>0</v>
      </c>
      <c r="T106" s="32">
        <f t="shared" si="3"/>
        <v>0</v>
      </c>
      <c r="W106" s="53"/>
    </row>
    <row r="107" spans="1:59" ht="14.4" x14ac:dyDescent="0.3">
      <c r="A107" s="44">
        <v>98</v>
      </c>
      <c r="B107" s="45" t="s">
        <v>175</v>
      </c>
      <c r="C107" s="46" t="s">
        <v>47</v>
      </c>
      <c r="D107" s="47">
        <v>1508104</v>
      </c>
      <c r="E107" s="48">
        <v>47331</v>
      </c>
      <c r="F107" s="49">
        <v>227</v>
      </c>
      <c r="G107" s="45" t="s">
        <v>18</v>
      </c>
      <c r="H107" s="50">
        <v>0</v>
      </c>
      <c r="I107" s="49">
        <f>tablet[[#This Row],[qtySaldoAwalSem1]]*tablet[[#This Row],[hargaSatuan]]</f>
        <v>0</v>
      </c>
      <c r="J107" s="50">
        <v>58000</v>
      </c>
      <c r="K107" s="51">
        <f>tablet[[#This Row],[qtyTerima2025]]*tablet[[#This Row],[hargaSatuan]]</f>
        <v>13166000</v>
      </c>
      <c r="L107" s="50">
        <v>58000</v>
      </c>
      <c r="M107" s="51">
        <f>tablet[[#This Row],[qtyDist2025]]*tablet[[#This Row],[hargaSatuan]]</f>
        <v>13166000</v>
      </c>
      <c r="N107" s="50">
        <v>0</v>
      </c>
      <c r="O107" s="51">
        <f>tablet[[#This Row],[qtyEd2025]]*tablet[[#This Row],[hargaSatuan]]</f>
        <v>0</v>
      </c>
      <c r="P107" s="50">
        <v>0</v>
      </c>
      <c r="Q107" s="52">
        <f>tablet[[#This Row],[qtySaldoAkhir2025]]*tablet[[#This Row],[hargaSatuan]]</f>
        <v>0</v>
      </c>
      <c r="S107" s="32">
        <f t="shared" si="2"/>
        <v>0</v>
      </c>
      <c r="T107" s="32">
        <f t="shared" si="3"/>
        <v>0</v>
      </c>
      <c r="W107" s="53"/>
    </row>
    <row r="108" spans="1:59" ht="14.4" x14ac:dyDescent="0.3">
      <c r="A108" s="44">
        <v>99</v>
      </c>
      <c r="B108" s="45" t="s">
        <v>175</v>
      </c>
      <c r="C108" s="46" t="s">
        <v>47</v>
      </c>
      <c r="D108" s="47">
        <v>1508094</v>
      </c>
      <c r="E108" s="48">
        <v>47331</v>
      </c>
      <c r="F108" s="49">
        <v>227</v>
      </c>
      <c r="G108" s="45" t="s">
        <v>18</v>
      </c>
      <c r="H108" s="50">
        <v>0</v>
      </c>
      <c r="I108" s="49">
        <f>tablet[[#This Row],[qtySaldoAwalSem1]]*tablet[[#This Row],[hargaSatuan]]</f>
        <v>0</v>
      </c>
      <c r="J108" s="50">
        <v>100000</v>
      </c>
      <c r="K108" s="51">
        <f>tablet[[#This Row],[qtyTerima2025]]*tablet[[#This Row],[hargaSatuan]]</f>
        <v>22700000</v>
      </c>
      <c r="L108" s="50">
        <v>7800</v>
      </c>
      <c r="M108" s="51">
        <f>tablet[[#This Row],[qtyDist2025]]*tablet[[#This Row],[hargaSatuan]]</f>
        <v>1770600</v>
      </c>
      <c r="N108" s="50">
        <v>0</v>
      </c>
      <c r="O108" s="51">
        <f>tablet[[#This Row],[qtyEd2025]]*tablet[[#This Row],[hargaSatuan]]</f>
        <v>0</v>
      </c>
      <c r="P108" s="50">
        <v>92200</v>
      </c>
      <c r="Q108" s="52">
        <f>tablet[[#This Row],[qtySaldoAkhir2025]]*tablet[[#This Row],[hargaSatuan]]</f>
        <v>20929400</v>
      </c>
      <c r="S108" s="32">
        <f t="shared" si="2"/>
        <v>20929400</v>
      </c>
      <c r="T108" s="32">
        <f t="shared" si="3"/>
        <v>0</v>
      </c>
      <c r="W108" s="53"/>
    </row>
    <row r="109" spans="1:59" ht="14.4" x14ac:dyDescent="0.3">
      <c r="A109" s="44">
        <v>100</v>
      </c>
      <c r="B109" s="45" t="s">
        <v>176</v>
      </c>
      <c r="C109" s="46" t="s">
        <v>47</v>
      </c>
      <c r="D109" s="47">
        <v>1401641</v>
      </c>
      <c r="E109" s="48">
        <v>46418</v>
      </c>
      <c r="F109" s="49">
        <v>435</v>
      </c>
      <c r="G109" s="45" t="s">
        <v>40</v>
      </c>
      <c r="H109" s="50">
        <v>0</v>
      </c>
      <c r="I109" s="49">
        <f>tablet[[#This Row],[qtySaldoAwalSem1]]*tablet[[#This Row],[hargaSatuan]]</f>
        <v>0</v>
      </c>
      <c r="J109" s="50">
        <v>700</v>
      </c>
      <c r="K109" s="51">
        <f>tablet[[#This Row],[qtyTerima2025]]*tablet[[#This Row],[hargaSatuan]]</f>
        <v>304500</v>
      </c>
      <c r="L109" s="50">
        <v>700</v>
      </c>
      <c r="M109" s="51">
        <f>tablet[[#This Row],[qtyDist2025]]*tablet[[#This Row],[hargaSatuan]]</f>
        <v>304500</v>
      </c>
      <c r="N109" s="50">
        <v>0</v>
      </c>
      <c r="O109" s="51">
        <f>tablet[[#This Row],[qtyEd2025]]*tablet[[#This Row],[hargaSatuan]]</f>
        <v>0</v>
      </c>
      <c r="P109" s="50">
        <v>0</v>
      </c>
      <c r="Q109" s="52">
        <f>tablet[[#This Row],[qtySaldoAkhir2025]]*tablet[[#This Row],[hargaSatuan]]</f>
        <v>0</v>
      </c>
      <c r="R109" s="53"/>
      <c r="S109" s="32">
        <f t="shared" si="2"/>
        <v>0</v>
      </c>
      <c r="T109" s="32">
        <f t="shared" si="3"/>
        <v>0</v>
      </c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53"/>
      <c r="AR109" s="53"/>
      <c r="AS109" s="53"/>
      <c r="AT109" s="53"/>
      <c r="AU109" s="53"/>
      <c r="AV109" s="53"/>
      <c r="AW109" s="53"/>
      <c r="AX109" s="53"/>
      <c r="AY109" s="53"/>
      <c r="AZ109" s="53"/>
      <c r="BA109" s="53"/>
      <c r="BB109" s="53"/>
      <c r="BC109" s="53"/>
      <c r="BD109" s="53"/>
      <c r="BE109" s="53"/>
      <c r="BF109" s="53"/>
      <c r="BG109" s="53"/>
    </row>
    <row r="110" spans="1:59" ht="14.4" x14ac:dyDescent="0.3">
      <c r="A110" s="44">
        <v>101</v>
      </c>
      <c r="B110" s="45" t="s">
        <v>177</v>
      </c>
      <c r="C110" s="46" t="s">
        <v>47</v>
      </c>
      <c r="D110" s="47" t="s">
        <v>178</v>
      </c>
      <c r="E110" s="48">
        <v>46661</v>
      </c>
      <c r="F110" s="49">
        <v>1473</v>
      </c>
      <c r="G110" s="45" t="s">
        <v>40</v>
      </c>
      <c r="H110" s="50">
        <v>0</v>
      </c>
      <c r="I110" s="49">
        <f>tablet[[#This Row],[qtySaldoAwalSem1]]*tablet[[#This Row],[hargaSatuan]]</f>
        <v>0</v>
      </c>
      <c r="J110" s="50">
        <v>1000</v>
      </c>
      <c r="K110" s="51">
        <f>tablet[[#This Row],[qtyTerima2025]]*tablet[[#This Row],[hargaSatuan]]</f>
        <v>1473000</v>
      </c>
      <c r="L110" s="50">
        <v>1000</v>
      </c>
      <c r="M110" s="51">
        <f>tablet[[#This Row],[qtyDist2025]]*tablet[[#This Row],[hargaSatuan]]</f>
        <v>1473000</v>
      </c>
      <c r="N110" s="50">
        <v>0</v>
      </c>
      <c r="O110" s="51">
        <f>tablet[[#This Row],[qtyEd2025]]*tablet[[#This Row],[hargaSatuan]]</f>
        <v>0</v>
      </c>
      <c r="P110" s="50">
        <v>0</v>
      </c>
      <c r="Q110" s="52">
        <f>tablet[[#This Row],[qtySaldoAkhir2025]]*tablet[[#This Row],[hargaSatuan]]</f>
        <v>0</v>
      </c>
      <c r="R110" s="53"/>
      <c r="S110" s="32">
        <f t="shared" si="2"/>
        <v>0</v>
      </c>
      <c r="T110" s="32">
        <f t="shared" si="3"/>
        <v>0</v>
      </c>
      <c r="U110" s="53"/>
      <c r="V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  <c r="AQ110" s="53"/>
      <c r="AR110" s="53"/>
      <c r="AS110" s="53"/>
      <c r="AT110" s="53"/>
      <c r="AU110" s="53"/>
      <c r="AV110" s="53"/>
      <c r="AW110" s="53"/>
      <c r="AX110" s="53"/>
      <c r="AY110" s="53"/>
      <c r="AZ110" s="53"/>
      <c r="BA110" s="53"/>
      <c r="BB110" s="53"/>
      <c r="BC110" s="53"/>
      <c r="BD110" s="53"/>
      <c r="BE110" s="53"/>
      <c r="BF110" s="53"/>
      <c r="BG110" s="53"/>
    </row>
    <row r="111" spans="1:59" ht="14.4" x14ac:dyDescent="0.3">
      <c r="A111" s="44">
        <v>102</v>
      </c>
      <c r="B111" s="45" t="s">
        <v>176</v>
      </c>
      <c r="C111" s="46" t="s">
        <v>47</v>
      </c>
      <c r="D111" s="47" t="s">
        <v>179</v>
      </c>
      <c r="E111" s="48">
        <v>46054</v>
      </c>
      <c r="F111" s="49">
        <v>412</v>
      </c>
      <c r="G111" s="45" t="s">
        <v>40</v>
      </c>
      <c r="H111" s="50">
        <v>0</v>
      </c>
      <c r="I111" s="49">
        <f>tablet[[#This Row],[qtySaldoAwalSem1]]*tablet[[#This Row],[hargaSatuan]]</f>
        <v>0</v>
      </c>
      <c r="J111" s="50">
        <v>2400</v>
      </c>
      <c r="K111" s="51">
        <f>tablet[[#This Row],[qtyTerima2025]]*tablet[[#This Row],[hargaSatuan]]</f>
        <v>988800</v>
      </c>
      <c r="L111" s="50">
        <v>1900</v>
      </c>
      <c r="M111" s="51">
        <f>tablet[[#This Row],[qtyDist2025]]*tablet[[#This Row],[hargaSatuan]]</f>
        <v>782800</v>
      </c>
      <c r="N111" s="50">
        <v>0</v>
      </c>
      <c r="O111" s="51">
        <f>tablet[[#This Row],[qtyEd2025]]*tablet[[#This Row],[hargaSatuan]]</f>
        <v>0</v>
      </c>
      <c r="P111" s="50">
        <v>500</v>
      </c>
      <c r="Q111" s="52">
        <f>tablet[[#This Row],[qtySaldoAkhir2025]]*tablet[[#This Row],[hargaSatuan]]</f>
        <v>206000</v>
      </c>
      <c r="R111" s="53"/>
      <c r="S111" s="32">
        <f t="shared" si="2"/>
        <v>206000</v>
      </c>
      <c r="T111" s="32">
        <f t="shared" si="3"/>
        <v>0</v>
      </c>
      <c r="U111" s="53"/>
      <c r="V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  <c r="BA111" s="53"/>
      <c r="BB111" s="53"/>
      <c r="BC111" s="53"/>
      <c r="BD111" s="53"/>
      <c r="BE111" s="53"/>
      <c r="BF111" s="53"/>
      <c r="BG111" s="53"/>
    </row>
    <row r="112" spans="1:59" ht="28.8" x14ac:dyDescent="0.3">
      <c r="A112" s="44">
        <v>103</v>
      </c>
      <c r="B112" s="45" t="s">
        <v>180</v>
      </c>
      <c r="C112" s="46" t="s">
        <v>47</v>
      </c>
      <c r="D112" s="47" t="s">
        <v>181</v>
      </c>
      <c r="E112" s="48">
        <v>46143</v>
      </c>
      <c r="F112" s="49">
        <v>4380</v>
      </c>
      <c r="G112" s="45" t="s">
        <v>40</v>
      </c>
      <c r="H112" s="50">
        <v>0</v>
      </c>
      <c r="I112" s="49">
        <f>tablet[[#This Row],[qtySaldoAwalSem1]]*tablet[[#This Row],[hargaSatuan]]</f>
        <v>0</v>
      </c>
      <c r="J112" s="50">
        <v>1440</v>
      </c>
      <c r="K112" s="51">
        <f>tablet[[#This Row],[qtyTerima2025]]*tablet[[#This Row],[hargaSatuan]]</f>
        <v>6307200</v>
      </c>
      <c r="L112" s="50">
        <v>1440</v>
      </c>
      <c r="M112" s="51">
        <f>tablet[[#This Row],[qtyDist2025]]*tablet[[#This Row],[hargaSatuan]]</f>
        <v>6307200</v>
      </c>
      <c r="N112" s="50">
        <v>0</v>
      </c>
      <c r="O112" s="51">
        <f>tablet[[#This Row],[qtyEd2025]]*tablet[[#This Row],[hargaSatuan]]</f>
        <v>0</v>
      </c>
      <c r="P112" s="50">
        <v>0</v>
      </c>
      <c r="Q112" s="52">
        <f>tablet[[#This Row],[qtySaldoAkhir2025]]*tablet[[#This Row],[hargaSatuan]]</f>
        <v>0</v>
      </c>
      <c r="R112" s="53"/>
      <c r="S112" s="32">
        <f t="shared" si="2"/>
        <v>0</v>
      </c>
      <c r="T112" s="32">
        <f t="shared" si="3"/>
        <v>0</v>
      </c>
      <c r="U112" s="53"/>
      <c r="V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  <c r="AP112" s="53"/>
      <c r="AQ112" s="53"/>
      <c r="AR112" s="53"/>
      <c r="AS112" s="53"/>
      <c r="AT112" s="53"/>
      <c r="AU112" s="53"/>
      <c r="AV112" s="53"/>
      <c r="AW112" s="53"/>
      <c r="AX112" s="53"/>
      <c r="AY112" s="53"/>
      <c r="AZ112" s="53"/>
      <c r="BA112" s="53"/>
      <c r="BB112" s="53"/>
      <c r="BC112" s="53"/>
      <c r="BD112" s="53"/>
      <c r="BE112" s="53"/>
      <c r="BF112" s="53"/>
      <c r="BG112" s="53"/>
    </row>
    <row r="113" spans="1:59" ht="28.8" x14ac:dyDescent="0.3">
      <c r="A113" s="44">
        <v>104</v>
      </c>
      <c r="B113" s="45" t="s">
        <v>180</v>
      </c>
      <c r="C113" s="46" t="s">
        <v>47</v>
      </c>
      <c r="D113" s="47" t="s">
        <v>182</v>
      </c>
      <c r="E113" s="48">
        <v>46538</v>
      </c>
      <c r="F113" s="49">
        <v>4774</v>
      </c>
      <c r="G113" s="45" t="s">
        <v>40</v>
      </c>
      <c r="H113" s="50">
        <v>0</v>
      </c>
      <c r="I113" s="49">
        <f>tablet[[#This Row],[qtySaldoAwalSem1]]*tablet[[#This Row],[hargaSatuan]]</f>
        <v>0</v>
      </c>
      <c r="J113" s="50">
        <v>3600</v>
      </c>
      <c r="K113" s="51">
        <f>tablet[[#This Row],[qtyTerima2025]]*tablet[[#This Row],[hargaSatuan]]</f>
        <v>17186400</v>
      </c>
      <c r="L113" s="50">
        <v>0</v>
      </c>
      <c r="M113" s="51">
        <f>tablet[[#This Row],[qtyDist2025]]*tablet[[#This Row],[hargaSatuan]]</f>
        <v>0</v>
      </c>
      <c r="N113" s="50">
        <v>0</v>
      </c>
      <c r="O113" s="51">
        <f>tablet[[#This Row],[qtyEd2025]]*tablet[[#This Row],[hargaSatuan]]</f>
        <v>0</v>
      </c>
      <c r="P113" s="50">
        <v>3600</v>
      </c>
      <c r="Q113" s="52">
        <f>tablet[[#This Row],[qtySaldoAkhir2025]]*tablet[[#This Row],[hargaSatuan]]</f>
        <v>17186400</v>
      </c>
      <c r="R113" s="53"/>
      <c r="S113" s="32">
        <f t="shared" si="2"/>
        <v>17186400</v>
      </c>
      <c r="T113" s="32">
        <f t="shared" si="3"/>
        <v>0</v>
      </c>
      <c r="U113" s="53"/>
      <c r="V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  <c r="AQ113" s="53"/>
      <c r="AR113" s="53"/>
      <c r="AS113" s="53"/>
      <c r="AT113" s="53"/>
      <c r="AU113" s="53"/>
      <c r="AV113" s="53"/>
      <c r="AW113" s="53"/>
      <c r="AX113" s="53"/>
      <c r="AY113" s="53"/>
      <c r="AZ113" s="53"/>
      <c r="BA113" s="53"/>
      <c r="BB113" s="53"/>
      <c r="BC113" s="53"/>
      <c r="BD113" s="53"/>
      <c r="BE113" s="53"/>
      <c r="BF113" s="53"/>
      <c r="BG113" s="53"/>
    </row>
    <row r="114" spans="1:59" ht="14.4" x14ac:dyDescent="0.3">
      <c r="A114" s="44">
        <v>105</v>
      </c>
      <c r="B114" s="45" t="s">
        <v>183</v>
      </c>
      <c r="C114" s="46" t="s">
        <v>52</v>
      </c>
      <c r="D114" s="47" t="s">
        <v>184</v>
      </c>
      <c r="E114" s="48">
        <v>45839</v>
      </c>
      <c r="F114" s="49">
        <v>300</v>
      </c>
      <c r="G114" s="45" t="s">
        <v>43</v>
      </c>
      <c r="H114" s="50">
        <v>5000</v>
      </c>
      <c r="I114" s="49">
        <f>tablet[[#This Row],[qtySaldoAwalSem1]]*tablet[[#This Row],[hargaSatuan]]</f>
        <v>1500000</v>
      </c>
      <c r="J114" s="50">
        <v>0</v>
      </c>
      <c r="K114" s="51">
        <f>tablet[[#This Row],[qtyTerima2025]]*tablet[[#This Row],[hargaSatuan]]</f>
        <v>0</v>
      </c>
      <c r="L114" s="50">
        <v>500</v>
      </c>
      <c r="M114" s="51">
        <f>tablet[[#This Row],[qtyDist2025]]*tablet[[#This Row],[hargaSatuan]]</f>
        <v>150000</v>
      </c>
      <c r="N114" s="50">
        <v>4500</v>
      </c>
      <c r="O114" s="51">
        <f>tablet[[#This Row],[qtyEd2025]]*tablet[[#This Row],[hargaSatuan]]</f>
        <v>1350000</v>
      </c>
      <c r="P114" s="50">
        <v>0</v>
      </c>
      <c r="Q114" s="52">
        <f>tablet[[#This Row],[qtySaldoAkhir2025]]*tablet[[#This Row],[hargaSatuan]]</f>
        <v>0</v>
      </c>
      <c r="S114" s="32">
        <f t="shared" si="2"/>
        <v>0</v>
      </c>
      <c r="T114" s="32">
        <f t="shared" si="3"/>
        <v>0</v>
      </c>
    </row>
    <row r="115" spans="1:59" ht="14.4" x14ac:dyDescent="0.3">
      <c r="A115" s="44">
        <v>106</v>
      </c>
      <c r="B115" s="45" t="s">
        <v>185</v>
      </c>
      <c r="C115" s="46" t="s">
        <v>52</v>
      </c>
      <c r="D115" s="47" t="s">
        <v>186</v>
      </c>
      <c r="E115" s="48">
        <v>45809</v>
      </c>
      <c r="F115" s="49">
        <v>500</v>
      </c>
      <c r="G115" s="45" t="s">
        <v>54</v>
      </c>
      <c r="H115" s="50">
        <v>1980</v>
      </c>
      <c r="I115" s="49">
        <f>tablet[[#This Row],[qtySaldoAwalSem1]]*tablet[[#This Row],[hargaSatuan]]</f>
        <v>990000</v>
      </c>
      <c r="J115" s="50">
        <v>0</v>
      </c>
      <c r="K115" s="51">
        <f>tablet[[#This Row],[qtyTerima2025]]*tablet[[#This Row],[hargaSatuan]]</f>
        <v>0</v>
      </c>
      <c r="L115" s="50">
        <v>0</v>
      </c>
      <c r="M115" s="51">
        <f>tablet[[#This Row],[qtyDist2025]]*tablet[[#This Row],[hargaSatuan]]</f>
        <v>0</v>
      </c>
      <c r="N115" s="50">
        <v>1980</v>
      </c>
      <c r="O115" s="51">
        <f>tablet[[#This Row],[qtyEd2025]]*tablet[[#This Row],[hargaSatuan]]</f>
        <v>990000</v>
      </c>
      <c r="P115" s="50">
        <v>0</v>
      </c>
      <c r="Q115" s="52">
        <f>tablet[[#This Row],[qtySaldoAkhir2025]]*tablet[[#This Row],[hargaSatuan]]</f>
        <v>0</v>
      </c>
      <c r="S115" s="32">
        <f t="shared" si="2"/>
        <v>0</v>
      </c>
      <c r="T115" s="32">
        <f t="shared" si="3"/>
        <v>0</v>
      </c>
    </row>
    <row r="116" spans="1:59" ht="14.4" x14ac:dyDescent="0.3">
      <c r="A116" s="44">
        <v>107</v>
      </c>
      <c r="B116" s="45" t="s">
        <v>187</v>
      </c>
      <c r="C116" s="46" t="s">
        <v>52</v>
      </c>
      <c r="D116" s="47" t="s">
        <v>188</v>
      </c>
      <c r="E116" s="48">
        <v>46450</v>
      </c>
      <c r="F116" s="49">
        <v>182</v>
      </c>
      <c r="G116" s="45" t="s">
        <v>40</v>
      </c>
      <c r="H116" s="50">
        <v>0</v>
      </c>
      <c r="I116" s="49">
        <f>tablet[[#This Row],[qtySaldoAwalSem1]]*tablet[[#This Row],[hargaSatuan]]</f>
        <v>0</v>
      </c>
      <c r="J116" s="50">
        <v>5000</v>
      </c>
      <c r="K116" s="51">
        <f>tablet[[#This Row],[qtyTerima2025]]*tablet[[#This Row],[hargaSatuan]]</f>
        <v>910000</v>
      </c>
      <c r="L116" s="50">
        <v>5000</v>
      </c>
      <c r="M116" s="51">
        <f>tablet[[#This Row],[qtyDist2025]]*tablet[[#This Row],[hargaSatuan]]</f>
        <v>910000</v>
      </c>
      <c r="N116" s="50">
        <v>0</v>
      </c>
      <c r="O116" s="51">
        <f>tablet[[#This Row],[qtyEd2025]]*tablet[[#This Row],[hargaSatuan]]</f>
        <v>0</v>
      </c>
      <c r="P116" s="50">
        <v>0</v>
      </c>
      <c r="Q116" s="52">
        <f>tablet[[#This Row],[qtySaldoAkhir2025]]*tablet[[#This Row],[hargaSatuan]]</f>
        <v>0</v>
      </c>
      <c r="S116" s="32">
        <f t="shared" si="2"/>
        <v>0</v>
      </c>
      <c r="T116" s="32">
        <f t="shared" si="3"/>
        <v>0</v>
      </c>
    </row>
    <row r="117" spans="1:59" ht="14.4" x14ac:dyDescent="0.3">
      <c r="A117" s="44">
        <v>108</v>
      </c>
      <c r="B117" s="45" t="s">
        <v>189</v>
      </c>
      <c r="C117" s="46" t="s">
        <v>52</v>
      </c>
      <c r="D117" s="47" t="s">
        <v>190</v>
      </c>
      <c r="E117" s="48">
        <v>46539</v>
      </c>
      <c r="F117" s="49">
        <v>94</v>
      </c>
      <c r="G117" s="45" t="s">
        <v>43</v>
      </c>
      <c r="H117" s="50">
        <v>145900</v>
      </c>
      <c r="I117" s="49">
        <f>tablet[[#This Row],[qtySaldoAwalSem1]]*tablet[[#This Row],[hargaSatuan]]</f>
        <v>13714600</v>
      </c>
      <c r="J117" s="50">
        <v>0</v>
      </c>
      <c r="K117" s="51">
        <f>tablet[[#This Row],[qtyTerima2025]]*tablet[[#This Row],[hargaSatuan]]</f>
        <v>0</v>
      </c>
      <c r="L117" s="50">
        <v>55200</v>
      </c>
      <c r="M117" s="51">
        <f>tablet[[#This Row],[qtyDist2025]]*tablet[[#This Row],[hargaSatuan]]</f>
        <v>5188800</v>
      </c>
      <c r="N117" s="50">
        <v>0</v>
      </c>
      <c r="O117" s="51">
        <f>tablet[[#This Row],[qtyEd2025]]*tablet[[#This Row],[hargaSatuan]]</f>
        <v>0</v>
      </c>
      <c r="P117" s="50">
        <v>90700</v>
      </c>
      <c r="Q117" s="52">
        <f>tablet[[#This Row],[qtySaldoAkhir2025]]*tablet[[#This Row],[hargaSatuan]]</f>
        <v>8525800</v>
      </c>
      <c r="S117" s="32">
        <f t="shared" si="2"/>
        <v>8525800</v>
      </c>
      <c r="T117" s="32">
        <f t="shared" si="3"/>
        <v>0</v>
      </c>
    </row>
    <row r="118" spans="1:59" ht="14.4" x14ac:dyDescent="0.3">
      <c r="A118" s="44">
        <v>109</v>
      </c>
      <c r="B118" s="45" t="s">
        <v>191</v>
      </c>
      <c r="C118" s="46" t="s">
        <v>52</v>
      </c>
      <c r="D118" s="47" t="s">
        <v>192</v>
      </c>
      <c r="E118" s="48">
        <v>45809</v>
      </c>
      <c r="F118" s="49">
        <v>132</v>
      </c>
      <c r="G118" s="45" t="s">
        <v>43</v>
      </c>
      <c r="H118" s="50">
        <v>144600</v>
      </c>
      <c r="I118" s="49">
        <f>tablet[[#This Row],[qtySaldoAwalSem1]]*tablet[[#This Row],[hargaSatuan]]</f>
        <v>19087200</v>
      </c>
      <c r="J118" s="50">
        <v>0</v>
      </c>
      <c r="K118" s="51">
        <f>tablet[[#This Row],[qtyTerima2025]]*tablet[[#This Row],[hargaSatuan]]</f>
        <v>0</v>
      </c>
      <c r="L118" s="50">
        <v>18100</v>
      </c>
      <c r="M118" s="51">
        <f>tablet[[#This Row],[qtyDist2025]]*tablet[[#This Row],[hargaSatuan]]</f>
        <v>2389200</v>
      </c>
      <c r="N118" s="50">
        <v>126500</v>
      </c>
      <c r="O118" s="51">
        <f>tablet[[#This Row],[qtyEd2025]]*tablet[[#This Row],[hargaSatuan]]</f>
        <v>16698000</v>
      </c>
      <c r="P118" s="50">
        <v>0</v>
      </c>
      <c r="Q118" s="52">
        <f>tablet[[#This Row],[qtySaldoAkhir2025]]*tablet[[#This Row],[hargaSatuan]]</f>
        <v>0</v>
      </c>
      <c r="S118" s="32">
        <f t="shared" si="2"/>
        <v>0</v>
      </c>
      <c r="T118" s="32">
        <f t="shared" si="3"/>
        <v>0</v>
      </c>
    </row>
    <row r="119" spans="1:59" ht="14.4" x14ac:dyDescent="0.3">
      <c r="A119" s="44">
        <v>110</v>
      </c>
      <c r="B119" s="45" t="s">
        <v>193</v>
      </c>
      <c r="C119" s="46" t="s">
        <v>52</v>
      </c>
      <c r="D119" s="47" t="s">
        <v>194</v>
      </c>
      <c r="E119" s="48">
        <v>45689</v>
      </c>
      <c r="F119" s="49">
        <v>225</v>
      </c>
      <c r="G119" s="45" t="s">
        <v>54</v>
      </c>
      <c r="H119" s="50">
        <v>100</v>
      </c>
      <c r="I119" s="49">
        <f>tablet[[#This Row],[qtySaldoAwalSem1]]*tablet[[#This Row],[hargaSatuan]]</f>
        <v>22500</v>
      </c>
      <c r="J119" s="50">
        <v>0</v>
      </c>
      <c r="K119" s="51">
        <f>tablet[[#This Row],[qtyTerima2025]]*tablet[[#This Row],[hargaSatuan]]</f>
        <v>0</v>
      </c>
      <c r="L119" s="50">
        <v>0</v>
      </c>
      <c r="M119" s="51">
        <f>tablet[[#This Row],[qtyDist2025]]*tablet[[#This Row],[hargaSatuan]]</f>
        <v>0</v>
      </c>
      <c r="N119" s="50">
        <v>100</v>
      </c>
      <c r="O119" s="51">
        <f>tablet[[#This Row],[qtyEd2025]]*tablet[[#This Row],[hargaSatuan]]</f>
        <v>22500</v>
      </c>
      <c r="P119" s="50">
        <v>0</v>
      </c>
      <c r="Q119" s="52">
        <f>tablet[[#This Row],[qtySaldoAkhir2025]]*tablet[[#This Row],[hargaSatuan]]</f>
        <v>0</v>
      </c>
      <c r="S119" s="32">
        <f t="shared" si="2"/>
        <v>0</v>
      </c>
      <c r="T119" s="32">
        <f t="shared" si="3"/>
        <v>0</v>
      </c>
    </row>
    <row r="120" spans="1:59" ht="14.4" x14ac:dyDescent="0.3">
      <c r="A120" s="44">
        <v>111</v>
      </c>
      <c r="B120" s="45" t="s">
        <v>195</v>
      </c>
      <c r="C120" s="46" t="s">
        <v>52</v>
      </c>
      <c r="D120" s="47" t="s">
        <v>196</v>
      </c>
      <c r="E120" s="48">
        <v>45931</v>
      </c>
      <c r="F120" s="49">
        <v>350</v>
      </c>
      <c r="G120" s="45" t="s">
        <v>54</v>
      </c>
      <c r="H120" s="50">
        <v>18800</v>
      </c>
      <c r="I120" s="49">
        <f>tablet[[#This Row],[qtySaldoAwalSem1]]*tablet[[#This Row],[hargaSatuan]]</f>
        <v>6580000</v>
      </c>
      <c r="J120" s="50">
        <v>0</v>
      </c>
      <c r="K120" s="51">
        <f>tablet[[#This Row],[qtyTerima2025]]*tablet[[#This Row],[hargaSatuan]]</f>
        <v>0</v>
      </c>
      <c r="L120" s="50">
        <v>9400</v>
      </c>
      <c r="M120" s="51">
        <f>tablet[[#This Row],[qtyDist2025]]*tablet[[#This Row],[hargaSatuan]]</f>
        <v>3290000</v>
      </c>
      <c r="N120" s="50">
        <v>9400</v>
      </c>
      <c r="O120" s="51">
        <f>tablet[[#This Row],[qtyEd2025]]*tablet[[#This Row],[hargaSatuan]]</f>
        <v>3290000</v>
      </c>
      <c r="P120" s="50">
        <v>0</v>
      </c>
      <c r="Q120" s="52">
        <f>tablet[[#This Row],[qtySaldoAkhir2025]]*tablet[[#This Row],[hargaSatuan]]</f>
        <v>0</v>
      </c>
      <c r="S120" s="32">
        <f t="shared" si="2"/>
        <v>0</v>
      </c>
      <c r="T120" s="32">
        <f t="shared" si="3"/>
        <v>0</v>
      </c>
    </row>
    <row r="121" spans="1:59" ht="14.4" x14ac:dyDescent="0.3">
      <c r="A121" s="44">
        <v>112</v>
      </c>
      <c r="B121" s="45" t="s">
        <v>197</v>
      </c>
      <c r="C121" s="46" t="s">
        <v>52</v>
      </c>
      <c r="D121" s="47" t="s">
        <v>198</v>
      </c>
      <c r="E121" s="48">
        <v>46143</v>
      </c>
      <c r="F121" s="49">
        <v>620</v>
      </c>
      <c r="G121" s="45" t="s">
        <v>54</v>
      </c>
      <c r="H121" s="50">
        <v>8750</v>
      </c>
      <c r="I121" s="49">
        <f>tablet[[#This Row],[qtySaldoAwalSem1]]*tablet[[#This Row],[hargaSatuan]]</f>
        <v>5425000</v>
      </c>
      <c r="J121" s="50">
        <v>0</v>
      </c>
      <c r="K121" s="51">
        <f>tablet[[#This Row],[qtyTerima2025]]*tablet[[#This Row],[hargaSatuan]]</f>
        <v>0</v>
      </c>
      <c r="L121" s="50">
        <v>5400</v>
      </c>
      <c r="M121" s="51">
        <f>tablet[[#This Row],[qtyDist2025]]*tablet[[#This Row],[hargaSatuan]]</f>
        <v>3348000</v>
      </c>
      <c r="N121" s="50">
        <v>0</v>
      </c>
      <c r="O121" s="51">
        <f>tablet[[#This Row],[qtyEd2025]]*tablet[[#This Row],[hargaSatuan]]</f>
        <v>0</v>
      </c>
      <c r="P121" s="50">
        <v>3350</v>
      </c>
      <c r="Q121" s="52">
        <f>tablet[[#This Row],[qtySaldoAkhir2025]]*tablet[[#This Row],[hargaSatuan]]</f>
        <v>2077000</v>
      </c>
      <c r="S121" s="32">
        <f t="shared" si="2"/>
        <v>2077000</v>
      </c>
      <c r="T121" s="32">
        <f t="shared" si="3"/>
        <v>0</v>
      </c>
    </row>
    <row r="122" spans="1:59" ht="14.4" x14ac:dyDescent="0.3">
      <c r="A122" s="44">
        <v>113</v>
      </c>
      <c r="B122" s="45" t="s">
        <v>199</v>
      </c>
      <c r="C122" s="46" t="s">
        <v>52</v>
      </c>
      <c r="D122" s="47" t="s">
        <v>200</v>
      </c>
      <c r="E122" s="48">
        <v>46266</v>
      </c>
      <c r="F122" s="49">
        <v>2886</v>
      </c>
      <c r="G122" s="45" t="s">
        <v>17</v>
      </c>
      <c r="H122" s="50">
        <v>5300</v>
      </c>
      <c r="I122" s="49">
        <f>tablet[[#This Row],[qtySaldoAwalSem1]]*tablet[[#This Row],[hargaSatuan]]</f>
        <v>15295800</v>
      </c>
      <c r="J122" s="50">
        <v>0</v>
      </c>
      <c r="K122" s="51">
        <f>tablet[[#This Row],[qtyTerima2025]]*tablet[[#This Row],[hargaSatuan]]</f>
        <v>0</v>
      </c>
      <c r="L122" s="50">
        <v>5300</v>
      </c>
      <c r="M122" s="51">
        <f>tablet[[#This Row],[qtyDist2025]]*tablet[[#This Row],[hargaSatuan]]</f>
        <v>15295800</v>
      </c>
      <c r="N122" s="50">
        <v>0</v>
      </c>
      <c r="O122" s="51">
        <f>tablet[[#This Row],[qtyEd2025]]*tablet[[#This Row],[hargaSatuan]]</f>
        <v>0</v>
      </c>
      <c r="P122" s="50">
        <v>0</v>
      </c>
      <c r="Q122" s="52">
        <f>tablet[[#This Row],[qtySaldoAkhir2025]]*tablet[[#This Row],[hargaSatuan]]</f>
        <v>0</v>
      </c>
      <c r="S122" s="32">
        <f t="shared" si="2"/>
        <v>0</v>
      </c>
      <c r="T122" s="32">
        <f t="shared" si="3"/>
        <v>0</v>
      </c>
    </row>
    <row r="123" spans="1:59" ht="14.4" x14ac:dyDescent="0.3">
      <c r="A123" s="44">
        <v>114</v>
      </c>
      <c r="B123" s="45" t="s">
        <v>199</v>
      </c>
      <c r="C123" s="46" t="s">
        <v>52</v>
      </c>
      <c r="D123" s="47" t="s">
        <v>201</v>
      </c>
      <c r="E123" s="48">
        <v>46266</v>
      </c>
      <c r="F123" s="49">
        <v>2886</v>
      </c>
      <c r="G123" s="45" t="s">
        <v>17</v>
      </c>
      <c r="H123" s="50">
        <v>11600</v>
      </c>
      <c r="I123" s="49">
        <f>tablet[[#This Row],[qtySaldoAwalSem1]]*tablet[[#This Row],[hargaSatuan]]</f>
        <v>33477600</v>
      </c>
      <c r="J123" s="50">
        <v>0</v>
      </c>
      <c r="K123" s="51">
        <f>tablet[[#This Row],[qtyTerima2025]]*tablet[[#This Row],[hargaSatuan]]</f>
        <v>0</v>
      </c>
      <c r="L123" s="50">
        <v>9800</v>
      </c>
      <c r="M123" s="51">
        <f>tablet[[#This Row],[qtyDist2025]]*tablet[[#This Row],[hargaSatuan]]</f>
        <v>28282800</v>
      </c>
      <c r="N123" s="50">
        <v>0</v>
      </c>
      <c r="O123" s="51">
        <f>tablet[[#This Row],[qtyEd2025]]*tablet[[#This Row],[hargaSatuan]]</f>
        <v>0</v>
      </c>
      <c r="P123" s="50">
        <v>1800</v>
      </c>
      <c r="Q123" s="52">
        <f>tablet[[#This Row],[qtySaldoAkhir2025]]*tablet[[#This Row],[hargaSatuan]]</f>
        <v>5194800</v>
      </c>
      <c r="S123" s="32">
        <f t="shared" si="2"/>
        <v>5194800</v>
      </c>
      <c r="T123" s="32">
        <f t="shared" si="3"/>
        <v>0</v>
      </c>
    </row>
    <row r="124" spans="1:59" ht="14.4" x14ac:dyDescent="0.3">
      <c r="A124" s="44">
        <v>115</v>
      </c>
      <c r="B124" s="45" t="s">
        <v>202</v>
      </c>
      <c r="C124" s="46" t="s">
        <v>52</v>
      </c>
      <c r="D124" s="47" t="s">
        <v>203</v>
      </c>
      <c r="E124" s="48">
        <v>46082</v>
      </c>
      <c r="F124" s="49">
        <v>54</v>
      </c>
      <c r="G124" s="45" t="s">
        <v>43</v>
      </c>
      <c r="H124" s="50">
        <v>206000</v>
      </c>
      <c r="I124" s="49">
        <f>tablet[[#This Row],[qtySaldoAwalSem1]]*tablet[[#This Row],[hargaSatuan]]</f>
        <v>11124000</v>
      </c>
      <c r="J124" s="50">
        <v>0</v>
      </c>
      <c r="K124" s="51">
        <f>tablet[[#This Row],[qtyTerima2025]]*tablet[[#This Row],[hargaSatuan]]</f>
        <v>0</v>
      </c>
      <c r="L124" s="50">
        <v>57500</v>
      </c>
      <c r="M124" s="51">
        <f>tablet[[#This Row],[qtyDist2025]]*tablet[[#This Row],[hargaSatuan]]</f>
        <v>3105000</v>
      </c>
      <c r="N124" s="50">
        <v>0</v>
      </c>
      <c r="O124" s="51">
        <f>tablet[[#This Row],[qtyEd2025]]*tablet[[#This Row],[hargaSatuan]]</f>
        <v>0</v>
      </c>
      <c r="P124" s="50">
        <v>148500</v>
      </c>
      <c r="Q124" s="52">
        <f>tablet[[#This Row],[qtySaldoAkhir2025]]*tablet[[#This Row],[hargaSatuan]]</f>
        <v>8019000</v>
      </c>
      <c r="S124" s="32">
        <f t="shared" si="2"/>
        <v>8019000</v>
      </c>
      <c r="T124" s="32">
        <f t="shared" si="3"/>
        <v>0</v>
      </c>
    </row>
    <row r="125" spans="1:59" ht="14.4" x14ac:dyDescent="0.3">
      <c r="A125" s="44">
        <v>116</v>
      </c>
      <c r="B125" s="45" t="s">
        <v>202</v>
      </c>
      <c r="C125" s="46" t="s">
        <v>52</v>
      </c>
      <c r="D125" s="47">
        <v>221106152</v>
      </c>
      <c r="E125" s="48">
        <v>45962</v>
      </c>
      <c r="F125" s="49">
        <v>162.16</v>
      </c>
      <c r="G125" s="45" t="s">
        <v>40</v>
      </c>
      <c r="H125" s="50">
        <v>51600</v>
      </c>
      <c r="I125" s="49">
        <f>tablet[[#This Row],[qtySaldoAwalSem1]]*tablet[[#This Row],[hargaSatuan]]</f>
        <v>8367456</v>
      </c>
      <c r="J125" s="50">
        <v>0</v>
      </c>
      <c r="K125" s="51">
        <f>tablet[[#This Row],[qtyTerima2025]]*tablet[[#This Row],[hargaSatuan]]</f>
        <v>0</v>
      </c>
      <c r="L125" s="50">
        <v>51600</v>
      </c>
      <c r="M125" s="51">
        <f>tablet[[#This Row],[qtyDist2025]]*tablet[[#This Row],[hargaSatuan]]</f>
        <v>8367456</v>
      </c>
      <c r="N125" s="50">
        <v>0</v>
      </c>
      <c r="O125" s="51">
        <f>tablet[[#This Row],[qtyEd2025]]*tablet[[#This Row],[hargaSatuan]]</f>
        <v>0</v>
      </c>
      <c r="P125" s="50">
        <v>0</v>
      </c>
      <c r="Q125" s="52">
        <f>tablet[[#This Row],[qtySaldoAkhir2025]]*tablet[[#This Row],[hargaSatuan]]</f>
        <v>0</v>
      </c>
      <c r="S125" s="32">
        <f t="shared" si="2"/>
        <v>0</v>
      </c>
      <c r="T125" s="32">
        <f t="shared" si="3"/>
        <v>0</v>
      </c>
    </row>
    <row r="126" spans="1:59" ht="14.4" x14ac:dyDescent="0.3">
      <c r="A126" s="44">
        <v>117</v>
      </c>
      <c r="B126" s="45" t="s">
        <v>204</v>
      </c>
      <c r="C126" s="46" t="s">
        <v>52</v>
      </c>
      <c r="D126" s="47">
        <v>66328001</v>
      </c>
      <c r="E126" s="48">
        <v>46661</v>
      </c>
      <c r="F126" s="49">
        <v>463</v>
      </c>
      <c r="G126" s="45" t="s">
        <v>54</v>
      </c>
      <c r="H126" s="50">
        <v>2900</v>
      </c>
      <c r="I126" s="49">
        <f>tablet[[#This Row],[qtySaldoAwalSem1]]*tablet[[#This Row],[hargaSatuan]]</f>
        <v>1342700</v>
      </c>
      <c r="J126" s="50">
        <v>0</v>
      </c>
      <c r="K126" s="51">
        <f>tablet[[#This Row],[qtyTerima2025]]*tablet[[#This Row],[hargaSatuan]]</f>
        <v>0</v>
      </c>
      <c r="L126" s="50">
        <v>2900</v>
      </c>
      <c r="M126" s="51">
        <f>tablet[[#This Row],[qtyDist2025]]*tablet[[#This Row],[hargaSatuan]]</f>
        <v>1342700</v>
      </c>
      <c r="N126" s="50">
        <v>0</v>
      </c>
      <c r="O126" s="51">
        <f>tablet[[#This Row],[qtyEd2025]]*tablet[[#This Row],[hargaSatuan]]</f>
        <v>0</v>
      </c>
      <c r="P126" s="50">
        <v>0</v>
      </c>
      <c r="Q126" s="52">
        <f>tablet[[#This Row],[qtySaldoAkhir2025]]*tablet[[#This Row],[hargaSatuan]]</f>
        <v>0</v>
      </c>
      <c r="S126" s="32">
        <f t="shared" si="2"/>
        <v>0</v>
      </c>
      <c r="T126" s="32">
        <f t="shared" si="3"/>
        <v>0</v>
      </c>
    </row>
    <row r="127" spans="1:59" ht="14.4" x14ac:dyDescent="0.3">
      <c r="A127" s="44">
        <v>118</v>
      </c>
      <c r="B127" s="45" t="s">
        <v>205</v>
      </c>
      <c r="C127" s="46" t="s">
        <v>52</v>
      </c>
      <c r="D127" s="47">
        <v>66327017</v>
      </c>
      <c r="E127" s="48">
        <v>45961</v>
      </c>
      <c r="F127" s="49">
        <v>597</v>
      </c>
      <c r="G127" s="45" t="s">
        <v>40</v>
      </c>
      <c r="H127" s="50">
        <v>0</v>
      </c>
      <c r="I127" s="49">
        <f>tablet[[#This Row],[qtySaldoAwalSem1]]*tablet[[#This Row],[hargaSatuan]]</f>
        <v>0</v>
      </c>
      <c r="J127" s="50">
        <v>4000</v>
      </c>
      <c r="K127" s="51">
        <f>tablet[[#This Row],[qtyTerima2025]]*tablet[[#This Row],[hargaSatuan]]</f>
        <v>2388000</v>
      </c>
      <c r="L127" s="50">
        <v>2400</v>
      </c>
      <c r="M127" s="51">
        <f>tablet[[#This Row],[qtyDist2025]]*tablet[[#This Row],[hargaSatuan]]</f>
        <v>1432800</v>
      </c>
      <c r="N127" s="50">
        <v>1600</v>
      </c>
      <c r="O127" s="51">
        <f>tablet[[#This Row],[qtyEd2025]]*tablet[[#This Row],[hargaSatuan]]</f>
        <v>955200</v>
      </c>
      <c r="P127" s="50">
        <v>0</v>
      </c>
      <c r="Q127" s="52">
        <f>tablet[[#This Row],[qtySaldoAkhir2025]]*tablet[[#This Row],[hargaSatuan]]</f>
        <v>0</v>
      </c>
      <c r="S127" s="32">
        <f t="shared" si="2"/>
        <v>0</v>
      </c>
      <c r="T127" s="32">
        <f t="shared" si="3"/>
        <v>0</v>
      </c>
    </row>
    <row r="128" spans="1:59" ht="14.4" x14ac:dyDescent="0.3">
      <c r="A128" s="44">
        <v>119</v>
      </c>
      <c r="B128" s="45" t="s">
        <v>205</v>
      </c>
      <c r="C128" s="46" t="s">
        <v>52</v>
      </c>
      <c r="D128" s="47" t="s">
        <v>206</v>
      </c>
      <c r="E128" s="48">
        <v>46721</v>
      </c>
      <c r="F128" s="49">
        <v>520</v>
      </c>
      <c r="G128" s="45" t="s">
        <v>40</v>
      </c>
      <c r="H128" s="50">
        <v>0</v>
      </c>
      <c r="I128" s="49">
        <f>tablet[[#This Row],[qtySaldoAwalSem1]]*tablet[[#This Row],[hargaSatuan]]</f>
        <v>0</v>
      </c>
      <c r="J128" s="50">
        <v>2000</v>
      </c>
      <c r="K128" s="51">
        <f>tablet[[#This Row],[qtyTerima2025]]*tablet[[#This Row],[hargaSatuan]]</f>
        <v>1040000</v>
      </c>
      <c r="L128" s="50">
        <v>1700</v>
      </c>
      <c r="M128" s="51">
        <f>tablet[[#This Row],[qtyDist2025]]*tablet[[#This Row],[hargaSatuan]]</f>
        <v>884000</v>
      </c>
      <c r="N128" s="50">
        <v>0</v>
      </c>
      <c r="O128" s="51">
        <f>tablet[[#This Row],[qtyEd2025]]*tablet[[#This Row],[hargaSatuan]]</f>
        <v>0</v>
      </c>
      <c r="P128" s="50">
        <v>300</v>
      </c>
      <c r="Q128" s="52">
        <f>tablet[[#This Row],[qtySaldoAkhir2025]]*tablet[[#This Row],[hargaSatuan]]</f>
        <v>156000</v>
      </c>
      <c r="S128" s="32">
        <f t="shared" si="2"/>
        <v>156000</v>
      </c>
      <c r="T128" s="32">
        <f t="shared" si="3"/>
        <v>0</v>
      </c>
      <c r="W128" s="53"/>
    </row>
    <row r="129" spans="1:59" ht="14.4" x14ac:dyDescent="0.3">
      <c r="A129" s="44">
        <v>120</v>
      </c>
      <c r="B129" s="45" t="s">
        <v>207</v>
      </c>
      <c r="C129" s="46" t="s">
        <v>52</v>
      </c>
      <c r="D129" s="47" t="s">
        <v>208</v>
      </c>
      <c r="E129" s="48">
        <v>47664</v>
      </c>
      <c r="F129" s="49">
        <v>465</v>
      </c>
      <c r="G129" s="45" t="s">
        <v>36</v>
      </c>
      <c r="H129" s="50">
        <v>0</v>
      </c>
      <c r="I129" s="49">
        <f>tablet[[#This Row],[qtySaldoAwalSem1]]*tablet[[#This Row],[hargaSatuan]]</f>
        <v>0</v>
      </c>
      <c r="J129" s="50">
        <v>10600</v>
      </c>
      <c r="K129" s="51">
        <f>tablet[[#This Row],[qtyTerima2025]]*tablet[[#This Row],[hargaSatuan]]</f>
        <v>4929000</v>
      </c>
      <c r="L129" s="50">
        <v>4300</v>
      </c>
      <c r="M129" s="51">
        <f>tablet[[#This Row],[qtyDist2025]]*tablet[[#This Row],[hargaSatuan]]</f>
        <v>1999500</v>
      </c>
      <c r="N129" s="50">
        <v>0</v>
      </c>
      <c r="O129" s="51">
        <f>tablet[[#This Row],[qtyEd2025]]*tablet[[#This Row],[hargaSatuan]]</f>
        <v>0</v>
      </c>
      <c r="P129" s="50">
        <v>6300</v>
      </c>
      <c r="Q129" s="52">
        <f>tablet[[#This Row],[qtySaldoAkhir2025]]*tablet[[#This Row],[hargaSatuan]]</f>
        <v>2929500</v>
      </c>
      <c r="S129" s="32">
        <f t="shared" si="2"/>
        <v>2929500</v>
      </c>
      <c r="T129" s="32">
        <f t="shared" si="3"/>
        <v>0</v>
      </c>
    </row>
    <row r="130" spans="1:59" ht="14.4" x14ac:dyDescent="0.3">
      <c r="A130" s="44">
        <v>121</v>
      </c>
      <c r="B130" s="45" t="s">
        <v>207</v>
      </c>
      <c r="C130" s="46" t="s">
        <v>52</v>
      </c>
      <c r="D130" s="47" t="s">
        <v>209</v>
      </c>
      <c r="E130" s="48">
        <v>47695</v>
      </c>
      <c r="F130" s="49">
        <v>465</v>
      </c>
      <c r="G130" s="45" t="s">
        <v>36</v>
      </c>
      <c r="H130" s="50">
        <v>0</v>
      </c>
      <c r="I130" s="49">
        <f>tablet[[#This Row],[qtySaldoAwalSem1]]*tablet[[#This Row],[hargaSatuan]]</f>
        <v>0</v>
      </c>
      <c r="J130" s="50">
        <v>4900</v>
      </c>
      <c r="K130" s="51">
        <f>tablet[[#This Row],[qtyTerima2025]]*tablet[[#This Row],[hargaSatuan]]</f>
        <v>2278500</v>
      </c>
      <c r="L130" s="50">
        <v>0</v>
      </c>
      <c r="M130" s="51">
        <f>tablet[[#This Row],[qtyDist2025]]*tablet[[#This Row],[hargaSatuan]]</f>
        <v>0</v>
      </c>
      <c r="N130" s="50">
        <v>0</v>
      </c>
      <c r="O130" s="51">
        <f>tablet[[#This Row],[qtyEd2025]]*tablet[[#This Row],[hargaSatuan]]</f>
        <v>0</v>
      </c>
      <c r="P130" s="50">
        <v>4900</v>
      </c>
      <c r="Q130" s="52">
        <f>tablet[[#This Row],[qtySaldoAkhir2025]]*tablet[[#This Row],[hargaSatuan]]</f>
        <v>2278500</v>
      </c>
      <c r="S130" s="32">
        <f t="shared" si="2"/>
        <v>2278500</v>
      </c>
      <c r="T130" s="32">
        <f t="shared" si="3"/>
        <v>0</v>
      </c>
    </row>
    <row r="131" spans="1:59" ht="14.4" x14ac:dyDescent="0.3">
      <c r="A131" s="44">
        <v>122</v>
      </c>
      <c r="B131" s="45" t="s">
        <v>207</v>
      </c>
      <c r="C131" s="46" t="s">
        <v>52</v>
      </c>
      <c r="D131" s="47" t="s">
        <v>210</v>
      </c>
      <c r="E131" s="48">
        <v>47695</v>
      </c>
      <c r="F131" s="49">
        <v>465</v>
      </c>
      <c r="G131" s="45" t="s">
        <v>36</v>
      </c>
      <c r="H131" s="50">
        <v>0</v>
      </c>
      <c r="I131" s="49">
        <f>tablet[[#This Row],[qtySaldoAwalSem1]]*tablet[[#This Row],[hargaSatuan]]</f>
        <v>0</v>
      </c>
      <c r="J131" s="50">
        <v>500</v>
      </c>
      <c r="K131" s="51">
        <f>tablet[[#This Row],[qtyTerima2025]]*tablet[[#This Row],[hargaSatuan]]</f>
        <v>232500</v>
      </c>
      <c r="L131" s="50">
        <v>0</v>
      </c>
      <c r="M131" s="51">
        <f>tablet[[#This Row],[qtyDist2025]]*tablet[[#This Row],[hargaSatuan]]</f>
        <v>0</v>
      </c>
      <c r="N131" s="50">
        <v>0</v>
      </c>
      <c r="O131" s="51">
        <f>tablet[[#This Row],[qtyEd2025]]*tablet[[#This Row],[hargaSatuan]]</f>
        <v>0</v>
      </c>
      <c r="P131" s="50">
        <v>500</v>
      </c>
      <c r="Q131" s="52">
        <f>tablet[[#This Row],[qtySaldoAkhir2025]]*tablet[[#This Row],[hargaSatuan]]</f>
        <v>232500</v>
      </c>
      <c r="S131" s="32">
        <f t="shared" si="2"/>
        <v>232500</v>
      </c>
      <c r="T131" s="32">
        <f t="shared" si="3"/>
        <v>0</v>
      </c>
    </row>
    <row r="132" spans="1:59" ht="14.4" x14ac:dyDescent="0.3">
      <c r="A132" s="44">
        <v>123</v>
      </c>
      <c r="B132" s="45" t="s">
        <v>211</v>
      </c>
      <c r="C132" s="46" t="s">
        <v>52</v>
      </c>
      <c r="D132" s="47">
        <v>221205</v>
      </c>
      <c r="E132" s="48">
        <v>45931</v>
      </c>
      <c r="F132" s="49">
        <v>2851</v>
      </c>
      <c r="G132" s="45" t="s">
        <v>40</v>
      </c>
      <c r="H132" s="50">
        <v>180</v>
      </c>
      <c r="I132" s="49">
        <f>tablet[[#This Row],[qtySaldoAwalSem1]]*tablet[[#This Row],[hargaSatuan]]</f>
        <v>513180</v>
      </c>
      <c r="J132" s="50">
        <v>0</v>
      </c>
      <c r="K132" s="51">
        <f>tablet[[#This Row],[qtyTerima2025]]*tablet[[#This Row],[hargaSatuan]]</f>
        <v>0</v>
      </c>
      <c r="L132" s="50">
        <v>72</v>
      </c>
      <c r="M132" s="51">
        <f>tablet[[#This Row],[qtyDist2025]]*tablet[[#This Row],[hargaSatuan]]</f>
        <v>205272</v>
      </c>
      <c r="N132" s="50">
        <v>108</v>
      </c>
      <c r="O132" s="51">
        <f>tablet[[#This Row],[qtyEd2025]]*tablet[[#This Row],[hargaSatuan]]</f>
        <v>307908</v>
      </c>
      <c r="P132" s="50">
        <v>0</v>
      </c>
      <c r="Q132" s="52">
        <f>tablet[[#This Row],[qtySaldoAkhir2025]]*tablet[[#This Row],[hargaSatuan]]</f>
        <v>0</v>
      </c>
      <c r="R132" s="53"/>
      <c r="S132" s="32">
        <f t="shared" si="2"/>
        <v>0</v>
      </c>
      <c r="T132" s="32">
        <f t="shared" si="3"/>
        <v>0</v>
      </c>
      <c r="U132" s="53"/>
      <c r="V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  <c r="AK132" s="53"/>
      <c r="AL132" s="53"/>
      <c r="AM132" s="53"/>
      <c r="AN132" s="53"/>
      <c r="AO132" s="53"/>
      <c r="AP132" s="53"/>
      <c r="AQ132" s="53"/>
      <c r="AR132" s="53"/>
      <c r="AS132" s="53"/>
      <c r="AT132" s="53"/>
      <c r="AU132" s="53"/>
      <c r="AV132" s="53"/>
      <c r="AW132" s="53"/>
      <c r="AX132" s="53"/>
      <c r="AY132" s="53"/>
      <c r="AZ132" s="53"/>
      <c r="BA132" s="53"/>
      <c r="BB132" s="53"/>
      <c r="BC132" s="53"/>
      <c r="BD132" s="53"/>
      <c r="BE132" s="53"/>
      <c r="BF132" s="53"/>
      <c r="BG132" s="53"/>
    </row>
    <row r="133" spans="1:59" ht="14.4" x14ac:dyDescent="0.3">
      <c r="A133" s="44">
        <v>124</v>
      </c>
      <c r="B133" s="45" t="s">
        <v>212</v>
      </c>
      <c r="C133" s="46" t="s">
        <v>120</v>
      </c>
      <c r="D133" s="47" t="s">
        <v>213</v>
      </c>
      <c r="E133" s="48">
        <v>46266</v>
      </c>
      <c r="F133" s="49">
        <v>372600</v>
      </c>
      <c r="G133" s="45" t="s">
        <v>40</v>
      </c>
      <c r="H133" s="50">
        <v>29</v>
      </c>
      <c r="I133" s="49">
        <f>tablet[[#This Row],[qtySaldoAwalSem1]]*tablet[[#This Row],[hargaSatuan]]</f>
        <v>10805400</v>
      </c>
      <c r="J133" s="50">
        <v>0</v>
      </c>
      <c r="K133" s="51">
        <f>tablet[[#This Row],[qtyTerima2025]]*tablet[[#This Row],[hargaSatuan]]</f>
        <v>0</v>
      </c>
      <c r="L133" s="50">
        <v>1</v>
      </c>
      <c r="M133" s="51">
        <f>tablet[[#This Row],[qtyDist2025]]*tablet[[#This Row],[hargaSatuan]]</f>
        <v>372600</v>
      </c>
      <c r="N133" s="50">
        <v>0</v>
      </c>
      <c r="O133" s="51">
        <f>tablet[[#This Row],[qtyEd2025]]*tablet[[#This Row],[hargaSatuan]]</f>
        <v>0</v>
      </c>
      <c r="P133" s="50">
        <v>28</v>
      </c>
      <c r="Q133" s="52">
        <f>tablet[[#This Row],[qtySaldoAkhir2025]]*tablet[[#This Row],[hargaSatuan]]</f>
        <v>10432800</v>
      </c>
      <c r="S133" s="32">
        <f t="shared" si="2"/>
        <v>10432800</v>
      </c>
      <c r="T133" s="32">
        <f t="shared" si="3"/>
        <v>0</v>
      </c>
    </row>
    <row r="134" spans="1:59" ht="14.4" x14ac:dyDescent="0.3">
      <c r="A134" s="44">
        <v>125</v>
      </c>
      <c r="B134" s="45" t="s">
        <v>214</v>
      </c>
      <c r="C134" s="46" t="s">
        <v>52</v>
      </c>
      <c r="D134" s="47">
        <v>121211420</v>
      </c>
      <c r="E134" s="48">
        <v>46357</v>
      </c>
      <c r="F134" s="49">
        <v>280</v>
      </c>
      <c r="G134" s="45" t="s">
        <v>43</v>
      </c>
      <c r="H134" s="50">
        <v>104700</v>
      </c>
      <c r="I134" s="49">
        <f>tablet[[#This Row],[qtySaldoAwalSem1]]*tablet[[#This Row],[hargaSatuan]]</f>
        <v>29316000</v>
      </c>
      <c r="J134" s="50">
        <v>0</v>
      </c>
      <c r="K134" s="51">
        <f>tablet[[#This Row],[qtyTerima2025]]*tablet[[#This Row],[hargaSatuan]]</f>
        <v>0</v>
      </c>
      <c r="L134" s="50">
        <v>16500</v>
      </c>
      <c r="M134" s="51">
        <f>tablet[[#This Row],[qtyDist2025]]*tablet[[#This Row],[hargaSatuan]]</f>
        <v>4620000</v>
      </c>
      <c r="N134" s="50">
        <v>0</v>
      </c>
      <c r="O134" s="51">
        <f>tablet[[#This Row],[qtyEd2025]]*tablet[[#This Row],[hargaSatuan]]</f>
        <v>0</v>
      </c>
      <c r="P134" s="50">
        <v>88200</v>
      </c>
      <c r="Q134" s="52">
        <f>tablet[[#This Row],[qtySaldoAkhir2025]]*tablet[[#This Row],[hargaSatuan]]</f>
        <v>24696000</v>
      </c>
      <c r="S134" s="32">
        <f t="shared" si="2"/>
        <v>24696000</v>
      </c>
      <c r="T134" s="32">
        <f t="shared" si="3"/>
        <v>0</v>
      </c>
    </row>
    <row r="135" spans="1:59" ht="14.4" x14ac:dyDescent="0.3">
      <c r="A135" s="44">
        <v>126</v>
      </c>
      <c r="B135" s="45" t="s">
        <v>215</v>
      </c>
      <c r="C135" s="46" t="s">
        <v>120</v>
      </c>
      <c r="D135" s="47" t="s">
        <v>216</v>
      </c>
      <c r="E135" s="48">
        <v>46966</v>
      </c>
      <c r="F135" s="49">
        <v>50172</v>
      </c>
      <c r="G135" s="45" t="s">
        <v>40</v>
      </c>
      <c r="H135" s="50">
        <v>8</v>
      </c>
      <c r="I135" s="49">
        <f>tablet[[#This Row],[qtySaldoAwalSem1]]*tablet[[#This Row],[hargaSatuan]]</f>
        <v>401376</v>
      </c>
      <c r="J135" s="50">
        <v>5</v>
      </c>
      <c r="K135" s="51">
        <f>tablet[[#This Row],[qtyTerima2025]]*tablet[[#This Row],[hargaSatuan]]</f>
        <v>250860</v>
      </c>
      <c r="L135" s="50">
        <v>13</v>
      </c>
      <c r="M135" s="51">
        <f>tablet[[#This Row],[qtyDist2025]]*tablet[[#This Row],[hargaSatuan]]</f>
        <v>652236</v>
      </c>
      <c r="N135" s="50">
        <v>0</v>
      </c>
      <c r="O135" s="51">
        <f>tablet[[#This Row],[qtyEd2025]]*tablet[[#This Row],[hargaSatuan]]</f>
        <v>0</v>
      </c>
      <c r="P135" s="50">
        <v>0</v>
      </c>
      <c r="Q135" s="52">
        <f>tablet[[#This Row],[qtySaldoAkhir2025]]*tablet[[#This Row],[hargaSatuan]]</f>
        <v>0</v>
      </c>
      <c r="S135" s="32">
        <f t="shared" si="2"/>
        <v>0</v>
      </c>
      <c r="T135" s="32">
        <f t="shared" si="3"/>
        <v>0</v>
      </c>
    </row>
    <row r="136" spans="1:59" ht="14.4" x14ac:dyDescent="0.3">
      <c r="A136" s="44">
        <v>127</v>
      </c>
      <c r="B136" s="45" t="s">
        <v>217</v>
      </c>
      <c r="C136" s="46" t="s">
        <v>218</v>
      </c>
      <c r="D136" s="47" t="s">
        <v>219</v>
      </c>
      <c r="E136" s="48">
        <v>46235</v>
      </c>
      <c r="F136" s="49">
        <v>461</v>
      </c>
      <c r="G136" s="45" t="s">
        <v>54</v>
      </c>
      <c r="H136" s="50">
        <v>15000</v>
      </c>
      <c r="I136" s="49">
        <f>tablet[[#This Row],[qtySaldoAwalSem1]]*tablet[[#This Row],[hargaSatuan]]</f>
        <v>6915000</v>
      </c>
      <c r="J136" s="50">
        <v>0</v>
      </c>
      <c r="K136" s="51">
        <f>tablet[[#This Row],[qtyTerima2025]]*tablet[[#This Row],[hargaSatuan]]</f>
        <v>0</v>
      </c>
      <c r="L136" s="50">
        <v>15000</v>
      </c>
      <c r="M136" s="51">
        <f>tablet[[#This Row],[qtyDist2025]]*tablet[[#This Row],[hargaSatuan]]</f>
        <v>6915000</v>
      </c>
      <c r="N136" s="50">
        <v>0</v>
      </c>
      <c r="O136" s="51">
        <f>tablet[[#This Row],[qtyEd2025]]*tablet[[#This Row],[hargaSatuan]]</f>
        <v>0</v>
      </c>
      <c r="P136" s="50">
        <v>0</v>
      </c>
      <c r="Q136" s="52">
        <f>tablet[[#This Row],[qtySaldoAkhir2025]]*tablet[[#This Row],[hargaSatuan]]</f>
        <v>0</v>
      </c>
      <c r="S136" s="32">
        <f t="shared" ref="S136:S199" si="4">IFERROR(I136+K136-(M136+O136),0)</f>
        <v>0</v>
      </c>
      <c r="T136" s="32">
        <f t="shared" ref="T136:T199" si="5">IFERROR(Q136-S136,0)</f>
        <v>0</v>
      </c>
    </row>
    <row r="137" spans="1:59" ht="14.4" x14ac:dyDescent="0.3">
      <c r="A137" s="44">
        <v>128</v>
      </c>
      <c r="B137" s="45" t="s">
        <v>217</v>
      </c>
      <c r="C137" s="46" t="s">
        <v>218</v>
      </c>
      <c r="D137" s="47" t="s">
        <v>220</v>
      </c>
      <c r="E137" s="48">
        <v>46507</v>
      </c>
      <c r="F137" s="49">
        <v>461</v>
      </c>
      <c r="G137" s="45" t="s">
        <v>18</v>
      </c>
      <c r="H137" s="50">
        <v>0</v>
      </c>
      <c r="I137" s="49">
        <f>tablet[[#This Row],[qtySaldoAwalSem1]]*tablet[[#This Row],[hargaSatuan]]</f>
        <v>0</v>
      </c>
      <c r="J137" s="50">
        <v>80000</v>
      </c>
      <c r="K137" s="51">
        <f>tablet[[#This Row],[qtyTerima2025]]*tablet[[#This Row],[hargaSatuan]]</f>
        <v>36880000</v>
      </c>
      <c r="L137" s="50">
        <v>73200</v>
      </c>
      <c r="M137" s="51">
        <f>tablet[[#This Row],[qtyDist2025]]*tablet[[#This Row],[hargaSatuan]]</f>
        <v>33745200</v>
      </c>
      <c r="N137" s="50">
        <v>0</v>
      </c>
      <c r="O137" s="51">
        <f>tablet[[#This Row],[qtyEd2025]]*tablet[[#This Row],[hargaSatuan]]</f>
        <v>0</v>
      </c>
      <c r="P137" s="50">
        <v>6800</v>
      </c>
      <c r="Q137" s="52">
        <f>tablet[[#This Row],[qtySaldoAkhir2025]]*tablet[[#This Row],[hargaSatuan]]</f>
        <v>3134800</v>
      </c>
      <c r="S137" s="32">
        <f t="shared" si="4"/>
        <v>3134800</v>
      </c>
      <c r="T137" s="32">
        <f t="shared" si="5"/>
        <v>0</v>
      </c>
      <c r="W137" s="53"/>
    </row>
    <row r="138" spans="1:59" ht="14.4" x14ac:dyDescent="0.3">
      <c r="A138" s="44">
        <v>129</v>
      </c>
      <c r="B138" s="45" t="s">
        <v>217</v>
      </c>
      <c r="C138" s="46" t="s">
        <v>218</v>
      </c>
      <c r="D138" s="47" t="s">
        <v>221</v>
      </c>
      <c r="E138" s="48">
        <v>46568</v>
      </c>
      <c r="F138" s="49">
        <v>460.65</v>
      </c>
      <c r="G138" s="45" t="s">
        <v>18</v>
      </c>
      <c r="H138" s="50">
        <v>0</v>
      </c>
      <c r="I138" s="49">
        <f>tablet[[#This Row],[qtySaldoAwalSem1]]*tablet[[#This Row],[hargaSatuan]]</f>
        <v>0</v>
      </c>
      <c r="J138" s="50">
        <v>19200</v>
      </c>
      <c r="K138" s="51">
        <f>tablet[[#This Row],[qtyTerima2025]]*tablet[[#This Row],[hargaSatuan]]</f>
        <v>8844480</v>
      </c>
      <c r="L138" s="50">
        <v>0</v>
      </c>
      <c r="M138" s="51">
        <f>tablet[[#This Row],[qtyDist2025]]*tablet[[#This Row],[hargaSatuan]]</f>
        <v>0</v>
      </c>
      <c r="N138" s="50">
        <v>0</v>
      </c>
      <c r="O138" s="51">
        <f>tablet[[#This Row],[qtyEd2025]]*tablet[[#This Row],[hargaSatuan]]</f>
        <v>0</v>
      </c>
      <c r="P138" s="50">
        <v>19200</v>
      </c>
      <c r="Q138" s="52">
        <f>tablet[[#This Row],[qtySaldoAkhir2025]]*tablet[[#This Row],[hargaSatuan]]</f>
        <v>8844480</v>
      </c>
      <c r="S138" s="32">
        <f t="shared" si="4"/>
        <v>8844480</v>
      </c>
      <c r="T138" s="32">
        <f t="shared" si="5"/>
        <v>0</v>
      </c>
      <c r="W138" s="53"/>
    </row>
    <row r="139" spans="1:59" ht="14.4" x14ac:dyDescent="0.3">
      <c r="A139" s="44">
        <v>130</v>
      </c>
      <c r="B139" s="45" t="s">
        <v>217</v>
      </c>
      <c r="C139" s="46" t="s">
        <v>218</v>
      </c>
      <c r="D139" s="47" t="s">
        <v>222</v>
      </c>
      <c r="E139" s="48">
        <v>46568</v>
      </c>
      <c r="F139" s="49">
        <v>460.65</v>
      </c>
      <c r="G139" s="45" t="s">
        <v>18</v>
      </c>
      <c r="H139" s="50">
        <v>0</v>
      </c>
      <c r="I139" s="49">
        <f>tablet[[#This Row],[qtySaldoAwalSem1]]*tablet[[#This Row],[hargaSatuan]]</f>
        <v>0</v>
      </c>
      <c r="J139" s="50">
        <v>25700</v>
      </c>
      <c r="K139" s="51">
        <f>tablet[[#This Row],[qtyTerima2025]]*tablet[[#This Row],[hargaSatuan]]</f>
        <v>11838705</v>
      </c>
      <c r="L139" s="50">
        <v>0</v>
      </c>
      <c r="M139" s="51">
        <f>tablet[[#This Row],[qtyDist2025]]*tablet[[#This Row],[hargaSatuan]]</f>
        <v>0</v>
      </c>
      <c r="N139" s="50">
        <v>0</v>
      </c>
      <c r="O139" s="51">
        <f>tablet[[#This Row],[qtyEd2025]]*tablet[[#This Row],[hargaSatuan]]</f>
        <v>0</v>
      </c>
      <c r="P139" s="50">
        <v>25700</v>
      </c>
      <c r="Q139" s="52">
        <f>tablet[[#This Row],[qtySaldoAkhir2025]]*tablet[[#This Row],[hargaSatuan]]</f>
        <v>11838705</v>
      </c>
      <c r="S139" s="32">
        <f t="shared" si="4"/>
        <v>11838705</v>
      </c>
      <c r="T139" s="32">
        <f t="shared" si="5"/>
        <v>0</v>
      </c>
      <c r="W139" s="53"/>
    </row>
    <row r="140" spans="1:59" ht="14.4" x14ac:dyDescent="0.3">
      <c r="A140" s="44">
        <v>131</v>
      </c>
      <c r="B140" s="45" t="s">
        <v>223</v>
      </c>
      <c r="C140" s="46" t="s">
        <v>47</v>
      </c>
      <c r="D140" s="47" t="s">
        <v>224</v>
      </c>
      <c r="E140" s="48">
        <v>47118</v>
      </c>
      <c r="F140" s="49">
        <v>3522</v>
      </c>
      <c r="G140" s="45" t="s">
        <v>40</v>
      </c>
      <c r="H140" s="50">
        <v>0</v>
      </c>
      <c r="I140" s="49">
        <f>tablet[[#This Row],[qtySaldoAwalSem1]]*tablet[[#This Row],[hargaSatuan]]</f>
        <v>0</v>
      </c>
      <c r="J140" s="50">
        <v>1700</v>
      </c>
      <c r="K140" s="51">
        <f>tablet[[#This Row],[qtyTerima2025]]*tablet[[#This Row],[hargaSatuan]]</f>
        <v>5987400</v>
      </c>
      <c r="L140" s="50">
        <v>1700</v>
      </c>
      <c r="M140" s="51">
        <f>tablet[[#This Row],[qtyDist2025]]*tablet[[#This Row],[hargaSatuan]]</f>
        <v>5987400</v>
      </c>
      <c r="N140" s="50">
        <v>0</v>
      </c>
      <c r="O140" s="51">
        <f>tablet[[#This Row],[qtyEd2025]]*tablet[[#This Row],[hargaSatuan]]</f>
        <v>0</v>
      </c>
      <c r="P140" s="50">
        <v>0</v>
      </c>
      <c r="Q140" s="52">
        <f>tablet[[#This Row],[qtySaldoAkhir2025]]*tablet[[#This Row],[hargaSatuan]]</f>
        <v>0</v>
      </c>
      <c r="S140" s="32">
        <f t="shared" si="4"/>
        <v>0</v>
      </c>
      <c r="T140" s="32">
        <f t="shared" si="5"/>
        <v>0</v>
      </c>
    </row>
    <row r="141" spans="1:59" ht="14.4" x14ac:dyDescent="0.3">
      <c r="A141" s="44">
        <v>132</v>
      </c>
      <c r="B141" s="45" t="s">
        <v>225</v>
      </c>
      <c r="C141" s="46" t="s">
        <v>47</v>
      </c>
      <c r="D141" s="47" t="s">
        <v>226</v>
      </c>
      <c r="E141" s="48">
        <v>46173</v>
      </c>
      <c r="F141" s="49">
        <v>700</v>
      </c>
      <c r="G141" s="45" t="s">
        <v>40</v>
      </c>
      <c r="H141" s="50">
        <v>0</v>
      </c>
      <c r="I141" s="49">
        <f>tablet[[#This Row],[qtySaldoAwalSem1]]*tablet[[#This Row],[hargaSatuan]]</f>
        <v>0</v>
      </c>
      <c r="J141" s="50">
        <v>1250</v>
      </c>
      <c r="K141" s="51">
        <f>tablet[[#This Row],[qtyTerima2025]]*tablet[[#This Row],[hargaSatuan]]</f>
        <v>875000</v>
      </c>
      <c r="L141" s="50">
        <v>1250</v>
      </c>
      <c r="M141" s="51">
        <f>tablet[[#This Row],[qtyDist2025]]*tablet[[#This Row],[hargaSatuan]]</f>
        <v>875000</v>
      </c>
      <c r="N141" s="50">
        <v>0</v>
      </c>
      <c r="O141" s="51">
        <f>tablet[[#This Row],[qtyEd2025]]*tablet[[#This Row],[hargaSatuan]]</f>
        <v>0</v>
      </c>
      <c r="P141" s="50">
        <v>0</v>
      </c>
      <c r="Q141" s="52">
        <f>tablet[[#This Row],[qtySaldoAkhir2025]]*tablet[[#This Row],[hargaSatuan]]</f>
        <v>0</v>
      </c>
      <c r="R141" s="53"/>
      <c r="S141" s="32">
        <f t="shared" si="4"/>
        <v>0</v>
      </c>
      <c r="T141" s="32">
        <f t="shared" si="5"/>
        <v>0</v>
      </c>
      <c r="U141" s="53"/>
      <c r="V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  <c r="AK141" s="53"/>
      <c r="AL141" s="53"/>
      <c r="AM141" s="53"/>
      <c r="AN141" s="53"/>
      <c r="AO141" s="53"/>
      <c r="AP141" s="53"/>
      <c r="AQ141" s="53"/>
      <c r="AR141" s="53"/>
      <c r="AS141" s="53"/>
      <c r="AT141" s="53"/>
      <c r="AU141" s="53"/>
      <c r="AV141" s="53"/>
      <c r="AW141" s="53"/>
      <c r="AX141" s="53"/>
      <c r="AY141" s="53"/>
      <c r="AZ141" s="53"/>
      <c r="BA141" s="53"/>
      <c r="BB141" s="53"/>
      <c r="BC141" s="53"/>
      <c r="BD141" s="53"/>
      <c r="BE141" s="53"/>
      <c r="BF141" s="53"/>
      <c r="BG141" s="53"/>
    </row>
    <row r="142" spans="1:59" ht="14.4" x14ac:dyDescent="0.3">
      <c r="A142" s="44">
        <v>133</v>
      </c>
      <c r="B142" s="45" t="s">
        <v>225</v>
      </c>
      <c r="C142" s="46" t="s">
        <v>47</v>
      </c>
      <c r="D142" s="47" t="s">
        <v>227</v>
      </c>
      <c r="E142" s="48">
        <v>46203</v>
      </c>
      <c r="F142" s="49">
        <v>700</v>
      </c>
      <c r="G142" s="45" t="s">
        <v>40</v>
      </c>
      <c r="H142" s="50">
        <v>0</v>
      </c>
      <c r="I142" s="49">
        <f>tablet[[#This Row],[qtySaldoAwalSem1]]*tablet[[#This Row],[hargaSatuan]]</f>
        <v>0</v>
      </c>
      <c r="J142" s="50">
        <v>300</v>
      </c>
      <c r="K142" s="51">
        <f>tablet[[#This Row],[qtyTerima2025]]*tablet[[#This Row],[hargaSatuan]]</f>
        <v>210000</v>
      </c>
      <c r="L142" s="50">
        <v>300</v>
      </c>
      <c r="M142" s="51">
        <f>tablet[[#This Row],[qtyDist2025]]*tablet[[#This Row],[hargaSatuan]]</f>
        <v>210000</v>
      </c>
      <c r="N142" s="50">
        <v>0</v>
      </c>
      <c r="O142" s="51">
        <f>tablet[[#This Row],[qtyEd2025]]*tablet[[#This Row],[hargaSatuan]]</f>
        <v>0</v>
      </c>
      <c r="P142" s="50">
        <v>0</v>
      </c>
      <c r="Q142" s="52">
        <f>tablet[[#This Row],[qtySaldoAkhir2025]]*tablet[[#This Row],[hargaSatuan]]</f>
        <v>0</v>
      </c>
      <c r="R142" s="53"/>
      <c r="S142" s="32">
        <f t="shared" si="4"/>
        <v>0</v>
      </c>
      <c r="T142" s="32">
        <f t="shared" si="5"/>
        <v>0</v>
      </c>
      <c r="U142" s="53"/>
      <c r="V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53"/>
      <c r="AJ142" s="53"/>
      <c r="AK142" s="53"/>
      <c r="AL142" s="53"/>
      <c r="AM142" s="53"/>
      <c r="AN142" s="53"/>
      <c r="AO142" s="53"/>
      <c r="AP142" s="53"/>
      <c r="AQ142" s="53"/>
      <c r="AR142" s="53"/>
      <c r="AS142" s="53"/>
      <c r="AT142" s="53"/>
      <c r="AU142" s="53"/>
      <c r="AV142" s="53"/>
      <c r="AW142" s="53"/>
      <c r="AX142" s="53"/>
      <c r="AY142" s="53"/>
      <c r="AZ142" s="53"/>
      <c r="BA142" s="53"/>
      <c r="BB142" s="53"/>
      <c r="BC142" s="53"/>
      <c r="BD142" s="53"/>
      <c r="BE142" s="53"/>
      <c r="BF142" s="53"/>
      <c r="BG142" s="53"/>
    </row>
    <row r="143" spans="1:59" ht="14.4" x14ac:dyDescent="0.3">
      <c r="A143" s="44">
        <v>134</v>
      </c>
      <c r="B143" s="45" t="s">
        <v>225</v>
      </c>
      <c r="C143" s="46" t="s">
        <v>47</v>
      </c>
      <c r="D143" s="47" t="s">
        <v>228</v>
      </c>
      <c r="E143" s="48">
        <v>46173</v>
      </c>
      <c r="F143" s="49">
        <v>700</v>
      </c>
      <c r="G143" s="45" t="s">
        <v>40</v>
      </c>
      <c r="H143" s="50">
        <v>0</v>
      </c>
      <c r="I143" s="49">
        <f>tablet[[#This Row],[qtySaldoAwalSem1]]*tablet[[#This Row],[hargaSatuan]]</f>
        <v>0</v>
      </c>
      <c r="J143" s="50">
        <v>200</v>
      </c>
      <c r="K143" s="51">
        <f>tablet[[#This Row],[qtyTerima2025]]*tablet[[#This Row],[hargaSatuan]]</f>
        <v>140000</v>
      </c>
      <c r="L143" s="50">
        <v>0</v>
      </c>
      <c r="M143" s="51">
        <f>tablet[[#This Row],[qtyDist2025]]*tablet[[#This Row],[hargaSatuan]]</f>
        <v>0</v>
      </c>
      <c r="N143" s="50">
        <v>0</v>
      </c>
      <c r="O143" s="51">
        <f>tablet[[#This Row],[qtyEd2025]]*tablet[[#This Row],[hargaSatuan]]</f>
        <v>0</v>
      </c>
      <c r="P143" s="50">
        <v>200</v>
      </c>
      <c r="Q143" s="52">
        <f>tablet[[#This Row],[qtySaldoAkhir2025]]*tablet[[#This Row],[hargaSatuan]]</f>
        <v>140000</v>
      </c>
      <c r="R143" s="53"/>
      <c r="S143" s="32">
        <f t="shared" si="4"/>
        <v>140000</v>
      </c>
      <c r="T143" s="32">
        <f t="shared" si="5"/>
        <v>0</v>
      </c>
      <c r="U143" s="53"/>
      <c r="V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  <c r="AJ143" s="53"/>
      <c r="AK143" s="53"/>
      <c r="AL143" s="53"/>
      <c r="AM143" s="53"/>
      <c r="AN143" s="53"/>
      <c r="AO143" s="53"/>
      <c r="AP143" s="53"/>
      <c r="AQ143" s="53"/>
      <c r="AR143" s="53"/>
      <c r="AS143" s="53"/>
      <c r="AT143" s="53"/>
      <c r="AU143" s="53"/>
      <c r="AV143" s="53"/>
      <c r="AW143" s="53"/>
      <c r="AX143" s="53"/>
      <c r="AY143" s="53"/>
      <c r="AZ143" s="53"/>
      <c r="BA143" s="53"/>
      <c r="BB143" s="53"/>
      <c r="BC143" s="53"/>
      <c r="BD143" s="53"/>
      <c r="BE143" s="53"/>
      <c r="BF143" s="53"/>
      <c r="BG143" s="53"/>
    </row>
    <row r="144" spans="1:59" ht="14.4" x14ac:dyDescent="0.3">
      <c r="A144" s="44">
        <v>135</v>
      </c>
      <c r="B144" s="45" t="s">
        <v>229</v>
      </c>
      <c r="C144" s="46" t="s">
        <v>52</v>
      </c>
      <c r="D144" s="47" t="s">
        <v>230</v>
      </c>
      <c r="E144" s="48">
        <v>46447</v>
      </c>
      <c r="F144" s="49">
        <v>255.3</v>
      </c>
      <c r="G144" s="45" t="s">
        <v>17</v>
      </c>
      <c r="H144" s="50">
        <v>3200</v>
      </c>
      <c r="I144" s="49">
        <f>tablet[[#This Row],[qtySaldoAwalSem1]]*tablet[[#This Row],[hargaSatuan]]</f>
        <v>816960</v>
      </c>
      <c r="J144" s="50">
        <v>0</v>
      </c>
      <c r="K144" s="51">
        <f>tablet[[#This Row],[qtyTerima2025]]*tablet[[#This Row],[hargaSatuan]]</f>
        <v>0</v>
      </c>
      <c r="L144" s="50">
        <v>3200</v>
      </c>
      <c r="M144" s="51">
        <f>tablet[[#This Row],[qtyDist2025]]*tablet[[#This Row],[hargaSatuan]]</f>
        <v>816960</v>
      </c>
      <c r="N144" s="50">
        <v>0</v>
      </c>
      <c r="O144" s="51">
        <f>tablet[[#This Row],[qtyEd2025]]*tablet[[#This Row],[hargaSatuan]]</f>
        <v>0</v>
      </c>
      <c r="P144" s="50">
        <v>0</v>
      </c>
      <c r="Q144" s="52">
        <f>tablet[[#This Row],[qtySaldoAkhir2025]]*tablet[[#This Row],[hargaSatuan]]</f>
        <v>0</v>
      </c>
      <c r="S144" s="32">
        <f t="shared" si="4"/>
        <v>0</v>
      </c>
      <c r="T144" s="32">
        <f t="shared" si="5"/>
        <v>0</v>
      </c>
    </row>
    <row r="145" spans="1:20" ht="14.4" x14ac:dyDescent="0.3">
      <c r="A145" s="44">
        <v>136</v>
      </c>
      <c r="B145" s="45" t="s">
        <v>229</v>
      </c>
      <c r="C145" s="46" t="s">
        <v>52</v>
      </c>
      <c r="D145" s="47" t="s">
        <v>231</v>
      </c>
      <c r="E145" s="48">
        <v>46266</v>
      </c>
      <c r="F145" s="49">
        <v>171</v>
      </c>
      <c r="G145" s="45" t="s">
        <v>43</v>
      </c>
      <c r="H145" s="50">
        <v>23000</v>
      </c>
      <c r="I145" s="49">
        <f>tablet[[#This Row],[qtySaldoAwalSem1]]*tablet[[#This Row],[hargaSatuan]]</f>
        <v>3933000</v>
      </c>
      <c r="J145" s="50">
        <v>0</v>
      </c>
      <c r="K145" s="51">
        <f>tablet[[#This Row],[qtyTerima2025]]*tablet[[#This Row],[hargaSatuan]]</f>
        <v>0</v>
      </c>
      <c r="L145" s="50">
        <v>23000</v>
      </c>
      <c r="M145" s="51">
        <f>tablet[[#This Row],[qtyDist2025]]*tablet[[#This Row],[hargaSatuan]]</f>
        <v>3933000</v>
      </c>
      <c r="N145" s="50">
        <v>0</v>
      </c>
      <c r="O145" s="51">
        <f>tablet[[#This Row],[qtyEd2025]]*tablet[[#This Row],[hargaSatuan]]</f>
        <v>0</v>
      </c>
      <c r="P145" s="50">
        <v>0</v>
      </c>
      <c r="Q145" s="52">
        <f>tablet[[#This Row],[qtySaldoAkhir2025]]*tablet[[#This Row],[hargaSatuan]]</f>
        <v>0</v>
      </c>
      <c r="S145" s="32">
        <f t="shared" si="4"/>
        <v>0</v>
      </c>
      <c r="T145" s="32">
        <f t="shared" si="5"/>
        <v>0</v>
      </c>
    </row>
    <row r="146" spans="1:20" ht="14.4" x14ac:dyDescent="0.3">
      <c r="A146" s="44">
        <v>137</v>
      </c>
      <c r="B146" s="45" t="s">
        <v>229</v>
      </c>
      <c r="C146" s="46" t="s">
        <v>52</v>
      </c>
      <c r="D146" s="47" t="s">
        <v>232</v>
      </c>
      <c r="E146" s="48">
        <v>46935</v>
      </c>
      <c r="F146" s="49">
        <v>134</v>
      </c>
      <c r="G146" s="45" t="s">
        <v>17</v>
      </c>
      <c r="H146" s="50">
        <v>10000</v>
      </c>
      <c r="I146" s="49">
        <f>tablet[[#This Row],[qtySaldoAwalSem1]]*tablet[[#This Row],[hargaSatuan]]</f>
        <v>1340000</v>
      </c>
      <c r="J146" s="50">
        <v>0</v>
      </c>
      <c r="K146" s="51">
        <f>tablet[[#This Row],[qtyTerima2025]]*tablet[[#This Row],[hargaSatuan]]</f>
        <v>0</v>
      </c>
      <c r="L146" s="50">
        <v>10000</v>
      </c>
      <c r="M146" s="51">
        <f>tablet[[#This Row],[qtyDist2025]]*tablet[[#This Row],[hargaSatuan]]</f>
        <v>1340000</v>
      </c>
      <c r="N146" s="50">
        <v>0</v>
      </c>
      <c r="O146" s="51">
        <f>tablet[[#This Row],[qtyEd2025]]*tablet[[#This Row],[hargaSatuan]]</f>
        <v>0</v>
      </c>
      <c r="P146" s="50">
        <v>0</v>
      </c>
      <c r="Q146" s="52">
        <f>tablet[[#This Row],[qtySaldoAkhir2025]]*tablet[[#This Row],[hargaSatuan]]</f>
        <v>0</v>
      </c>
      <c r="S146" s="32">
        <f t="shared" si="4"/>
        <v>0</v>
      </c>
      <c r="T146" s="32">
        <f t="shared" si="5"/>
        <v>0</v>
      </c>
    </row>
    <row r="147" spans="1:20" ht="14.4" x14ac:dyDescent="0.3">
      <c r="A147" s="44">
        <v>138</v>
      </c>
      <c r="B147" s="45" t="s">
        <v>229</v>
      </c>
      <c r="C147" s="46" t="s">
        <v>52</v>
      </c>
      <c r="D147" s="47" t="s">
        <v>233</v>
      </c>
      <c r="E147" s="48">
        <v>46966</v>
      </c>
      <c r="F147" s="49">
        <v>134</v>
      </c>
      <c r="G147" s="45" t="s">
        <v>17</v>
      </c>
      <c r="H147" s="50">
        <v>10000</v>
      </c>
      <c r="I147" s="49">
        <f>tablet[[#This Row],[qtySaldoAwalSem1]]*tablet[[#This Row],[hargaSatuan]]</f>
        <v>1340000</v>
      </c>
      <c r="J147" s="50">
        <v>0</v>
      </c>
      <c r="K147" s="51">
        <f>tablet[[#This Row],[qtyTerima2025]]*tablet[[#This Row],[hargaSatuan]]</f>
        <v>0</v>
      </c>
      <c r="L147" s="50">
        <v>10000</v>
      </c>
      <c r="M147" s="51">
        <f>tablet[[#This Row],[qtyDist2025]]*tablet[[#This Row],[hargaSatuan]]</f>
        <v>1340000</v>
      </c>
      <c r="N147" s="50">
        <v>0</v>
      </c>
      <c r="O147" s="51">
        <f>tablet[[#This Row],[qtyEd2025]]*tablet[[#This Row],[hargaSatuan]]</f>
        <v>0</v>
      </c>
      <c r="P147" s="50">
        <v>0</v>
      </c>
      <c r="Q147" s="52">
        <f>tablet[[#This Row],[qtySaldoAkhir2025]]*tablet[[#This Row],[hargaSatuan]]</f>
        <v>0</v>
      </c>
      <c r="S147" s="32">
        <f t="shared" si="4"/>
        <v>0</v>
      </c>
      <c r="T147" s="32">
        <f t="shared" si="5"/>
        <v>0</v>
      </c>
    </row>
    <row r="148" spans="1:20" ht="14.4" x14ac:dyDescent="0.3">
      <c r="A148" s="44">
        <v>139</v>
      </c>
      <c r="B148" s="45" t="s">
        <v>234</v>
      </c>
      <c r="C148" s="46" t="s">
        <v>38</v>
      </c>
      <c r="D148" s="47" t="s">
        <v>235</v>
      </c>
      <c r="E148" s="48">
        <v>45901</v>
      </c>
      <c r="F148" s="49">
        <v>718920</v>
      </c>
      <c r="G148" s="45" t="s">
        <v>40</v>
      </c>
      <c r="H148" s="50">
        <v>6</v>
      </c>
      <c r="I148" s="49">
        <f>tablet[[#This Row],[qtySaldoAwalSem1]]*tablet[[#This Row],[hargaSatuan]]</f>
        <v>4313520</v>
      </c>
      <c r="J148" s="50">
        <v>14</v>
      </c>
      <c r="K148" s="51">
        <f>tablet[[#This Row],[qtyTerima2025]]*tablet[[#This Row],[hargaSatuan]]</f>
        <v>10064880</v>
      </c>
      <c r="L148" s="50">
        <v>10</v>
      </c>
      <c r="M148" s="51">
        <f>tablet[[#This Row],[qtyDist2025]]*tablet[[#This Row],[hargaSatuan]]</f>
        <v>7189200</v>
      </c>
      <c r="N148" s="50">
        <v>10</v>
      </c>
      <c r="O148" s="51">
        <f>tablet[[#This Row],[qtyEd2025]]*tablet[[#This Row],[hargaSatuan]]</f>
        <v>7189200</v>
      </c>
      <c r="P148" s="50">
        <v>0</v>
      </c>
      <c r="Q148" s="52">
        <f>tablet[[#This Row],[qtySaldoAkhir2025]]*tablet[[#This Row],[hargaSatuan]]</f>
        <v>0</v>
      </c>
      <c r="S148" s="32">
        <f t="shared" si="4"/>
        <v>0</v>
      </c>
      <c r="T148" s="32">
        <f t="shared" si="5"/>
        <v>0</v>
      </c>
    </row>
    <row r="149" spans="1:20" ht="14.4" x14ac:dyDescent="0.3">
      <c r="A149" s="44">
        <v>140</v>
      </c>
      <c r="B149" s="45" t="s">
        <v>234</v>
      </c>
      <c r="C149" s="46" t="s">
        <v>38</v>
      </c>
      <c r="D149" s="47" t="s">
        <v>236</v>
      </c>
      <c r="E149" s="48">
        <v>46630</v>
      </c>
      <c r="F149" s="49">
        <v>827640</v>
      </c>
      <c r="G149" s="45" t="s">
        <v>40</v>
      </c>
      <c r="H149" s="50">
        <v>0</v>
      </c>
      <c r="I149" s="49">
        <f>tablet[[#This Row],[qtySaldoAwalSem1]]*tablet[[#This Row],[hargaSatuan]]</f>
        <v>0</v>
      </c>
      <c r="J149" s="50">
        <v>23</v>
      </c>
      <c r="K149" s="51">
        <f>tablet[[#This Row],[qtyTerima2025]]*tablet[[#This Row],[hargaSatuan]]</f>
        <v>19035720</v>
      </c>
      <c r="L149" s="50">
        <v>15</v>
      </c>
      <c r="M149" s="51">
        <f>tablet[[#This Row],[qtyDist2025]]*tablet[[#This Row],[hargaSatuan]]</f>
        <v>12414600</v>
      </c>
      <c r="N149" s="50">
        <v>0</v>
      </c>
      <c r="O149" s="51">
        <f>tablet[[#This Row],[qtyEd2025]]*tablet[[#This Row],[hargaSatuan]]</f>
        <v>0</v>
      </c>
      <c r="P149" s="50">
        <v>8</v>
      </c>
      <c r="Q149" s="52">
        <f>tablet[[#This Row],[qtySaldoAkhir2025]]*tablet[[#This Row],[hargaSatuan]]</f>
        <v>6621120</v>
      </c>
      <c r="S149" s="32">
        <f t="shared" si="4"/>
        <v>6621120</v>
      </c>
      <c r="T149" s="32">
        <f t="shared" si="5"/>
        <v>0</v>
      </c>
    </row>
    <row r="150" spans="1:20" ht="14.4" x14ac:dyDescent="0.3">
      <c r="A150" s="44">
        <v>141</v>
      </c>
      <c r="B150" s="45" t="s">
        <v>237</v>
      </c>
      <c r="C150" s="46" t="s">
        <v>238</v>
      </c>
      <c r="D150" s="47" t="s">
        <v>239</v>
      </c>
      <c r="E150" s="48">
        <v>45870</v>
      </c>
      <c r="F150" s="49">
        <v>32560</v>
      </c>
      <c r="G150" s="45" t="s">
        <v>40</v>
      </c>
      <c r="H150" s="50">
        <v>2</v>
      </c>
      <c r="I150" s="49">
        <f>tablet[[#This Row],[qtySaldoAwalSem1]]*tablet[[#This Row],[hargaSatuan]]</f>
        <v>65120</v>
      </c>
      <c r="J150" s="50">
        <v>0</v>
      </c>
      <c r="K150" s="51">
        <f>tablet[[#This Row],[qtyTerima2025]]*tablet[[#This Row],[hargaSatuan]]</f>
        <v>0</v>
      </c>
      <c r="L150" s="50">
        <v>0</v>
      </c>
      <c r="M150" s="51">
        <f>tablet[[#This Row],[qtyDist2025]]*tablet[[#This Row],[hargaSatuan]]</f>
        <v>0</v>
      </c>
      <c r="N150" s="50">
        <v>0</v>
      </c>
      <c r="O150" s="51">
        <f>tablet[[#This Row],[qtyEd2025]]*tablet[[#This Row],[hargaSatuan]]</f>
        <v>0</v>
      </c>
      <c r="P150" s="50">
        <v>2</v>
      </c>
      <c r="Q150" s="52">
        <f>tablet[[#This Row],[qtySaldoAkhir2025]]*tablet[[#This Row],[hargaSatuan]]</f>
        <v>65120</v>
      </c>
      <c r="S150" s="32">
        <f t="shared" si="4"/>
        <v>65120</v>
      </c>
      <c r="T150" s="32">
        <f t="shared" si="5"/>
        <v>0</v>
      </c>
    </row>
    <row r="151" spans="1:20" ht="14.4" x14ac:dyDescent="0.3">
      <c r="A151" s="44">
        <v>142</v>
      </c>
      <c r="B151" s="45" t="s">
        <v>237</v>
      </c>
      <c r="C151" s="46" t="s">
        <v>238</v>
      </c>
      <c r="D151" s="47" t="s">
        <v>240</v>
      </c>
      <c r="E151" s="48">
        <v>46388</v>
      </c>
      <c r="F151" s="49">
        <v>35104.5</v>
      </c>
      <c r="G151" s="45" t="s">
        <v>40</v>
      </c>
      <c r="H151" s="50">
        <v>6</v>
      </c>
      <c r="I151" s="49">
        <f>tablet[[#This Row],[qtySaldoAwalSem1]]*tablet[[#This Row],[hargaSatuan]]</f>
        <v>210627</v>
      </c>
      <c r="J151" s="50">
        <v>0</v>
      </c>
      <c r="K151" s="51">
        <f>tablet[[#This Row],[qtyTerima2025]]*tablet[[#This Row],[hargaSatuan]]</f>
        <v>0</v>
      </c>
      <c r="L151" s="50">
        <v>0</v>
      </c>
      <c r="M151" s="51">
        <f>tablet[[#This Row],[qtyDist2025]]*tablet[[#This Row],[hargaSatuan]]</f>
        <v>0</v>
      </c>
      <c r="N151" s="50">
        <v>0</v>
      </c>
      <c r="O151" s="51">
        <f>tablet[[#This Row],[qtyEd2025]]*tablet[[#This Row],[hargaSatuan]]</f>
        <v>0</v>
      </c>
      <c r="P151" s="50">
        <v>6</v>
      </c>
      <c r="Q151" s="52">
        <f>tablet[[#This Row],[qtySaldoAkhir2025]]*tablet[[#This Row],[hargaSatuan]]</f>
        <v>210627</v>
      </c>
      <c r="S151" s="32">
        <f t="shared" si="4"/>
        <v>210627</v>
      </c>
      <c r="T151" s="32">
        <f t="shared" si="5"/>
        <v>0</v>
      </c>
    </row>
    <row r="152" spans="1:20" ht="14.4" x14ac:dyDescent="0.3">
      <c r="A152" s="44">
        <v>143</v>
      </c>
      <c r="B152" s="45" t="s">
        <v>237</v>
      </c>
      <c r="C152" s="46" t="s">
        <v>238</v>
      </c>
      <c r="D152" s="47" t="s">
        <v>241</v>
      </c>
      <c r="E152" s="48">
        <v>46691</v>
      </c>
      <c r="F152" s="49">
        <v>35104.559999999998</v>
      </c>
      <c r="G152" s="45" t="s">
        <v>40</v>
      </c>
      <c r="H152" s="50">
        <v>0</v>
      </c>
      <c r="I152" s="49">
        <f>tablet[[#This Row],[qtySaldoAwalSem1]]*tablet[[#This Row],[hargaSatuan]]</f>
        <v>0</v>
      </c>
      <c r="J152" s="50">
        <v>6</v>
      </c>
      <c r="K152" s="51">
        <f>tablet[[#This Row],[qtyTerima2025]]*tablet[[#This Row],[hargaSatuan]]</f>
        <v>210627.36</v>
      </c>
      <c r="L152" s="50">
        <v>0</v>
      </c>
      <c r="M152" s="51">
        <f>tablet[[#This Row],[qtyDist2025]]*tablet[[#This Row],[hargaSatuan]]</f>
        <v>0</v>
      </c>
      <c r="N152" s="50">
        <v>0</v>
      </c>
      <c r="O152" s="51">
        <f>tablet[[#This Row],[qtyEd2025]]*tablet[[#This Row],[hargaSatuan]]</f>
        <v>0</v>
      </c>
      <c r="P152" s="50">
        <v>6</v>
      </c>
      <c r="Q152" s="52">
        <f>tablet[[#This Row],[qtySaldoAkhir2025]]*tablet[[#This Row],[hargaSatuan]]</f>
        <v>210627.36</v>
      </c>
      <c r="S152" s="32">
        <f t="shared" si="4"/>
        <v>210627.36</v>
      </c>
      <c r="T152" s="32">
        <f t="shared" si="5"/>
        <v>0</v>
      </c>
    </row>
    <row r="153" spans="1:20" ht="14.4" x14ac:dyDescent="0.3">
      <c r="A153" s="44">
        <v>144</v>
      </c>
      <c r="B153" s="45" t="s">
        <v>242</v>
      </c>
      <c r="C153" s="46" t="s">
        <v>238</v>
      </c>
      <c r="D153" s="47" t="s">
        <v>243</v>
      </c>
      <c r="E153" s="48">
        <v>46023</v>
      </c>
      <c r="F153" s="49">
        <v>24800</v>
      </c>
      <c r="G153" s="45" t="s">
        <v>40</v>
      </c>
      <c r="H153" s="50">
        <v>6</v>
      </c>
      <c r="I153" s="49">
        <f>tablet[[#This Row],[qtySaldoAwalSem1]]*tablet[[#This Row],[hargaSatuan]]</f>
        <v>148800</v>
      </c>
      <c r="J153" s="50">
        <v>0</v>
      </c>
      <c r="K153" s="51">
        <f>tablet[[#This Row],[qtyTerima2025]]*tablet[[#This Row],[hargaSatuan]]</f>
        <v>0</v>
      </c>
      <c r="L153" s="50">
        <v>0</v>
      </c>
      <c r="M153" s="51">
        <f>tablet[[#This Row],[qtyDist2025]]*tablet[[#This Row],[hargaSatuan]]</f>
        <v>0</v>
      </c>
      <c r="N153" s="50">
        <v>0</v>
      </c>
      <c r="O153" s="51">
        <f>tablet[[#This Row],[qtyEd2025]]*tablet[[#This Row],[hargaSatuan]]</f>
        <v>0</v>
      </c>
      <c r="P153" s="50">
        <v>6</v>
      </c>
      <c r="Q153" s="52">
        <f>tablet[[#This Row],[qtySaldoAkhir2025]]*tablet[[#This Row],[hargaSatuan]]</f>
        <v>148800</v>
      </c>
      <c r="S153" s="32">
        <f t="shared" si="4"/>
        <v>148800</v>
      </c>
      <c r="T153" s="32">
        <f t="shared" si="5"/>
        <v>0</v>
      </c>
    </row>
    <row r="154" spans="1:20" ht="14.4" x14ac:dyDescent="0.3">
      <c r="A154" s="44">
        <v>145</v>
      </c>
      <c r="B154" s="45" t="s">
        <v>244</v>
      </c>
      <c r="C154" s="46" t="s">
        <v>238</v>
      </c>
      <c r="D154" s="47">
        <v>0</v>
      </c>
      <c r="E154" s="48">
        <v>45962</v>
      </c>
      <c r="F154" s="49">
        <v>169783.91666666666</v>
      </c>
      <c r="G154" s="45" t="s">
        <v>40</v>
      </c>
      <c r="H154" s="50">
        <v>7</v>
      </c>
      <c r="I154" s="49">
        <f>tablet[[#This Row],[qtySaldoAwalSem1]]*tablet[[#This Row],[hargaSatuan]]</f>
        <v>1188487.4166666665</v>
      </c>
      <c r="J154" s="50">
        <v>0</v>
      </c>
      <c r="K154" s="51">
        <f>tablet[[#This Row],[qtyTerima2025]]*tablet[[#This Row],[hargaSatuan]]</f>
        <v>0</v>
      </c>
      <c r="L154" s="50">
        <v>7</v>
      </c>
      <c r="M154" s="51">
        <f>tablet[[#This Row],[qtyDist2025]]*tablet[[#This Row],[hargaSatuan]]</f>
        <v>1188487.4166666665</v>
      </c>
      <c r="N154" s="50">
        <v>0</v>
      </c>
      <c r="O154" s="51">
        <f>tablet[[#This Row],[qtyEd2025]]*tablet[[#This Row],[hargaSatuan]]</f>
        <v>0</v>
      </c>
      <c r="P154" s="50">
        <v>0</v>
      </c>
      <c r="Q154" s="52">
        <f>tablet[[#This Row],[qtySaldoAkhir2025]]*tablet[[#This Row],[hargaSatuan]]</f>
        <v>0</v>
      </c>
      <c r="S154" s="32">
        <f t="shared" si="4"/>
        <v>0</v>
      </c>
      <c r="T154" s="32">
        <f t="shared" si="5"/>
        <v>0</v>
      </c>
    </row>
    <row r="155" spans="1:20" ht="14.4" x14ac:dyDescent="0.3">
      <c r="A155" s="44">
        <v>146</v>
      </c>
      <c r="B155" s="45" t="s">
        <v>244</v>
      </c>
      <c r="C155" s="46" t="s">
        <v>238</v>
      </c>
      <c r="D155" s="47" t="s">
        <v>245</v>
      </c>
      <c r="E155" s="48">
        <v>46447</v>
      </c>
      <c r="F155" s="49">
        <v>56267.72</v>
      </c>
      <c r="G155" s="45" t="s">
        <v>40</v>
      </c>
      <c r="H155" s="50">
        <v>0</v>
      </c>
      <c r="I155" s="49">
        <f>tablet[[#This Row],[qtySaldoAwalSem1]]*tablet[[#This Row],[hargaSatuan]]</f>
        <v>0</v>
      </c>
      <c r="J155" s="50">
        <v>90</v>
      </c>
      <c r="K155" s="51">
        <f>tablet[[#This Row],[qtyTerima2025]]*tablet[[#This Row],[hargaSatuan]]</f>
        <v>5064094.8</v>
      </c>
      <c r="L155" s="50">
        <v>90</v>
      </c>
      <c r="M155" s="51">
        <f>tablet[[#This Row],[qtyDist2025]]*tablet[[#This Row],[hargaSatuan]]</f>
        <v>5064094.8</v>
      </c>
      <c r="N155" s="50">
        <v>0</v>
      </c>
      <c r="O155" s="51">
        <f>tablet[[#This Row],[qtyEd2025]]*tablet[[#This Row],[hargaSatuan]]</f>
        <v>0</v>
      </c>
      <c r="P155" s="50">
        <v>0</v>
      </c>
      <c r="Q155" s="52">
        <f>tablet[[#This Row],[qtySaldoAkhir2025]]*tablet[[#This Row],[hargaSatuan]]</f>
        <v>0</v>
      </c>
      <c r="S155" s="32">
        <f t="shared" si="4"/>
        <v>0</v>
      </c>
      <c r="T155" s="32">
        <f t="shared" si="5"/>
        <v>0</v>
      </c>
    </row>
    <row r="156" spans="1:20" ht="14.4" x14ac:dyDescent="0.3">
      <c r="A156" s="44">
        <v>147</v>
      </c>
      <c r="B156" s="45" t="s">
        <v>244</v>
      </c>
      <c r="C156" s="46" t="s">
        <v>238</v>
      </c>
      <c r="D156" s="47" t="s">
        <v>246</v>
      </c>
      <c r="E156" s="48">
        <v>46418</v>
      </c>
      <c r="F156" s="49">
        <v>56265.72</v>
      </c>
      <c r="G156" s="45" t="s">
        <v>40</v>
      </c>
      <c r="H156" s="50">
        <v>0</v>
      </c>
      <c r="I156" s="49">
        <f>tablet[[#This Row],[qtySaldoAwalSem1]]*tablet[[#This Row],[hargaSatuan]]</f>
        <v>0</v>
      </c>
      <c r="J156" s="50">
        <v>36</v>
      </c>
      <c r="K156" s="51">
        <f>tablet[[#This Row],[qtyTerima2025]]*tablet[[#This Row],[hargaSatuan]]</f>
        <v>2025565.92</v>
      </c>
      <c r="L156" s="50">
        <v>36</v>
      </c>
      <c r="M156" s="51">
        <f>tablet[[#This Row],[qtyDist2025]]*tablet[[#This Row],[hargaSatuan]]</f>
        <v>2025565.92</v>
      </c>
      <c r="N156" s="50">
        <v>0</v>
      </c>
      <c r="O156" s="51">
        <f>tablet[[#This Row],[qtyEd2025]]*tablet[[#This Row],[hargaSatuan]]</f>
        <v>0</v>
      </c>
      <c r="P156" s="50">
        <v>0</v>
      </c>
      <c r="Q156" s="52">
        <f>tablet[[#This Row],[qtySaldoAkhir2025]]*tablet[[#This Row],[hargaSatuan]]</f>
        <v>0</v>
      </c>
      <c r="S156" s="32">
        <f t="shared" si="4"/>
        <v>0</v>
      </c>
      <c r="T156" s="32">
        <f t="shared" si="5"/>
        <v>0</v>
      </c>
    </row>
    <row r="157" spans="1:20" ht="14.4" x14ac:dyDescent="0.3">
      <c r="A157" s="44">
        <v>148</v>
      </c>
      <c r="B157" s="45" t="s">
        <v>244</v>
      </c>
      <c r="C157" s="46" t="s">
        <v>238</v>
      </c>
      <c r="D157" s="47" t="s">
        <v>247</v>
      </c>
      <c r="E157" s="48">
        <v>46965</v>
      </c>
      <c r="F157" s="49">
        <v>63744.73</v>
      </c>
      <c r="G157" s="45" t="s">
        <v>40</v>
      </c>
      <c r="H157" s="50">
        <v>0</v>
      </c>
      <c r="I157" s="49">
        <f>tablet[[#This Row],[qtySaldoAwalSem1]]*tablet[[#This Row],[hargaSatuan]]</f>
        <v>0</v>
      </c>
      <c r="J157" s="50">
        <v>50</v>
      </c>
      <c r="K157" s="51">
        <f>tablet[[#This Row],[qtyTerima2025]]*tablet[[#This Row],[hargaSatuan]]</f>
        <v>3187236.5</v>
      </c>
      <c r="L157" s="50">
        <v>34</v>
      </c>
      <c r="M157" s="51">
        <f>tablet[[#This Row],[qtyDist2025]]*tablet[[#This Row],[hargaSatuan]]</f>
        <v>2167320.8200000003</v>
      </c>
      <c r="N157" s="50">
        <v>0</v>
      </c>
      <c r="O157" s="51">
        <f>tablet[[#This Row],[qtyEd2025]]*tablet[[#This Row],[hargaSatuan]]</f>
        <v>0</v>
      </c>
      <c r="P157" s="50">
        <v>16</v>
      </c>
      <c r="Q157" s="52">
        <f>tablet[[#This Row],[qtySaldoAkhir2025]]*tablet[[#This Row],[hargaSatuan]]</f>
        <v>1019915.68</v>
      </c>
      <c r="S157" s="32">
        <f t="shared" si="4"/>
        <v>1019915.6799999997</v>
      </c>
      <c r="T157" s="32">
        <f t="shared" si="5"/>
        <v>3.4924596548080444E-10</v>
      </c>
    </row>
    <row r="158" spans="1:20" ht="14.4" x14ac:dyDescent="0.3">
      <c r="A158" s="44">
        <v>149</v>
      </c>
      <c r="B158" s="45" t="s">
        <v>248</v>
      </c>
      <c r="C158" s="46" t="s">
        <v>52</v>
      </c>
      <c r="D158" s="47" t="s">
        <v>249</v>
      </c>
      <c r="E158" s="48">
        <v>46204</v>
      </c>
      <c r="F158" s="49">
        <v>194</v>
      </c>
      <c r="G158" s="45" t="s">
        <v>54</v>
      </c>
      <c r="H158" s="50">
        <v>64400</v>
      </c>
      <c r="I158" s="49">
        <f>tablet[[#This Row],[qtySaldoAwalSem1]]*tablet[[#This Row],[hargaSatuan]]</f>
        <v>12493600</v>
      </c>
      <c r="J158" s="50">
        <v>0</v>
      </c>
      <c r="K158" s="51">
        <f>tablet[[#This Row],[qtyTerima2025]]*tablet[[#This Row],[hargaSatuan]]</f>
        <v>0</v>
      </c>
      <c r="L158" s="50">
        <v>64400</v>
      </c>
      <c r="M158" s="51">
        <f>tablet[[#This Row],[qtyDist2025]]*tablet[[#This Row],[hargaSatuan]]</f>
        <v>12493600</v>
      </c>
      <c r="N158" s="50">
        <v>0</v>
      </c>
      <c r="O158" s="51">
        <f>tablet[[#This Row],[qtyEd2025]]*tablet[[#This Row],[hargaSatuan]]</f>
        <v>0</v>
      </c>
      <c r="P158" s="50">
        <v>0</v>
      </c>
      <c r="Q158" s="52">
        <f>tablet[[#This Row],[qtySaldoAkhir2025]]*tablet[[#This Row],[hargaSatuan]]</f>
        <v>0</v>
      </c>
      <c r="S158" s="32">
        <f t="shared" si="4"/>
        <v>0</v>
      </c>
      <c r="T158" s="32">
        <f t="shared" si="5"/>
        <v>0</v>
      </c>
    </row>
    <row r="159" spans="1:20" ht="14.4" x14ac:dyDescent="0.3">
      <c r="A159" s="44">
        <v>150</v>
      </c>
      <c r="B159" s="45" t="s">
        <v>248</v>
      </c>
      <c r="C159" s="46" t="s">
        <v>52</v>
      </c>
      <c r="D159" s="47" t="s">
        <v>250</v>
      </c>
      <c r="E159" s="48">
        <v>46418</v>
      </c>
      <c r="F159" s="49">
        <v>194</v>
      </c>
      <c r="G159" s="45" t="s">
        <v>36</v>
      </c>
      <c r="H159" s="50">
        <v>0</v>
      </c>
      <c r="I159" s="49">
        <f>tablet[[#This Row],[qtySaldoAwalSem1]]*tablet[[#This Row],[hargaSatuan]]</f>
        <v>0</v>
      </c>
      <c r="J159" s="50">
        <v>180200</v>
      </c>
      <c r="K159" s="51">
        <f>tablet[[#This Row],[qtyTerima2025]]*tablet[[#This Row],[hargaSatuan]]</f>
        <v>34958800</v>
      </c>
      <c r="L159" s="50">
        <v>180200</v>
      </c>
      <c r="M159" s="51">
        <f>tablet[[#This Row],[qtyDist2025]]*tablet[[#This Row],[hargaSatuan]]</f>
        <v>34958800</v>
      </c>
      <c r="N159" s="50">
        <v>0</v>
      </c>
      <c r="O159" s="51">
        <f>tablet[[#This Row],[qtyEd2025]]*tablet[[#This Row],[hargaSatuan]]</f>
        <v>0</v>
      </c>
      <c r="P159" s="50">
        <v>0</v>
      </c>
      <c r="Q159" s="52">
        <f>tablet[[#This Row],[qtySaldoAkhir2025]]*tablet[[#This Row],[hargaSatuan]]</f>
        <v>0</v>
      </c>
      <c r="S159" s="32">
        <f t="shared" si="4"/>
        <v>0</v>
      </c>
      <c r="T159" s="32">
        <f t="shared" si="5"/>
        <v>0</v>
      </c>
    </row>
    <row r="160" spans="1:20" ht="14.4" x14ac:dyDescent="0.3">
      <c r="A160" s="44">
        <v>151</v>
      </c>
      <c r="B160" s="45" t="s">
        <v>248</v>
      </c>
      <c r="C160" s="46" t="s">
        <v>52</v>
      </c>
      <c r="D160" s="47" t="s">
        <v>251</v>
      </c>
      <c r="E160" s="48">
        <v>46418</v>
      </c>
      <c r="F160" s="49">
        <v>194</v>
      </c>
      <c r="G160" s="45" t="s">
        <v>36</v>
      </c>
      <c r="H160" s="50">
        <v>0</v>
      </c>
      <c r="I160" s="49">
        <f>tablet[[#This Row],[qtySaldoAwalSem1]]*tablet[[#This Row],[hargaSatuan]]</f>
        <v>0</v>
      </c>
      <c r="J160" s="50">
        <v>243000</v>
      </c>
      <c r="K160" s="51">
        <f>tablet[[#This Row],[qtyTerima2025]]*tablet[[#This Row],[hargaSatuan]]</f>
        <v>47142000</v>
      </c>
      <c r="L160" s="50">
        <v>243000</v>
      </c>
      <c r="M160" s="51">
        <f>tablet[[#This Row],[qtyDist2025]]*tablet[[#This Row],[hargaSatuan]]</f>
        <v>47142000</v>
      </c>
      <c r="N160" s="50">
        <v>0</v>
      </c>
      <c r="O160" s="51">
        <f>tablet[[#This Row],[qtyEd2025]]*tablet[[#This Row],[hargaSatuan]]</f>
        <v>0</v>
      </c>
      <c r="P160" s="50">
        <v>0</v>
      </c>
      <c r="Q160" s="52">
        <f>tablet[[#This Row],[qtySaldoAkhir2025]]*tablet[[#This Row],[hargaSatuan]]</f>
        <v>0</v>
      </c>
      <c r="S160" s="32">
        <f t="shared" si="4"/>
        <v>0</v>
      </c>
      <c r="T160" s="32">
        <f t="shared" si="5"/>
        <v>0</v>
      </c>
    </row>
    <row r="161" spans="1:59" ht="14.4" x14ac:dyDescent="0.3">
      <c r="A161" s="44">
        <v>152</v>
      </c>
      <c r="B161" s="45" t="s">
        <v>252</v>
      </c>
      <c r="C161" s="46" t="s">
        <v>52</v>
      </c>
      <c r="D161" s="47" t="s">
        <v>253</v>
      </c>
      <c r="E161" s="48">
        <v>46844</v>
      </c>
      <c r="F161" s="49">
        <v>1832</v>
      </c>
      <c r="G161" s="45" t="s">
        <v>18</v>
      </c>
      <c r="H161" s="50">
        <v>0</v>
      </c>
      <c r="I161" s="49">
        <f>tablet[[#This Row],[qtySaldoAwalSem1]]*tablet[[#This Row],[hargaSatuan]]</f>
        <v>0</v>
      </c>
      <c r="J161" s="50">
        <v>3500</v>
      </c>
      <c r="K161" s="51">
        <f>tablet[[#This Row],[qtyTerima2025]]*tablet[[#This Row],[hargaSatuan]]</f>
        <v>6412000</v>
      </c>
      <c r="L161" s="50">
        <v>2300</v>
      </c>
      <c r="M161" s="51">
        <f>tablet[[#This Row],[qtyDist2025]]*tablet[[#This Row],[hargaSatuan]]</f>
        <v>4213600</v>
      </c>
      <c r="N161" s="50">
        <v>0</v>
      </c>
      <c r="O161" s="51">
        <f>tablet[[#This Row],[qtyEd2025]]*tablet[[#This Row],[hargaSatuan]]</f>
        <v>0</v>
      </c>
      <c r="P161" s="50">
        <v>1200</v>
      </c>
      <c r="Q161" s="52">
        <f>tablet[[#This Row],[qtySaldoAkhir2025]]*tablet[[#This Row],[hargaSatuan]]</f>
        <v>2198400</v>
      </c>
      <c r="S161" s="32">
        <f t="shared" si="4"/>
        <v>2198400</v>
      </c>
      <c r="T161" s="32">
        <f t="shared" si="5"/>
        <v>0</v>
      </c>
    </row>
    <row r="162" spans="1:59" ht="14.4" x14ac:dyDescent="0.3">
      <c r="A162" s="44">
        <v>153</v>
      </c>
      <c r="B162" s="45" t="s">
        <v>254</v>
      </c>
      <c r="C162" s="46" t="s">
        <v>52</v>
      </c>
      <c r="D162" s="47" t="s">
        <v>255</v>
      </c>
      <c r="E162" s="48">
        <v>46538</v>
      </c>
      <c r="F162" s="49">
        <v>262</v>
      </c>
      <c r="G162" s="45" t="s">
        <v>40</v>
      </c>
      <c r="H162" s="50">
        <v>0</v>
      </c>
      <c r="I162" s="49">
        <f>tablet[[#This Row],[qtySaldoAwalSem1]]*tablet[[#This Row],[hargaSatuan]]</f>
        <v>0</v>
      </c>
      <c r="J162" s="50">
        <v>3000</v>
      </c>
      <c r="K162" s="51">
        <f>tablet[[#This Row],[qtyTerima2025]]*tablet[[#This Row],[hargaSatuan]]</f>
        <v>786000</v>
      </c>
      <c r="L162" s="50">
        <v>3000</v>
      </c>
      <c r="M162" s="51">
        <f>tablet[[#This Row],[qtyDist2025]]*tablet[[#This Row],[hargaSatuan]]</f>
        <v>786000</v>
      </c>
      <c r="N162" s="50">
        <v>0</v>
      </c>
      <c r="O162" s="51">
        <f>tablet[[#This Row],[qtyEd2025]]*tablet[[#This Row],[hargaSatuan]]</f>
        <v>0</v>
      </c>
      <c r="P162" s="50">
        <v>0</v>
      </c>
      <c r="Q162" s="52">
        <f>tablet[[#This Row],[qtySaldoAkhir2025]]*tablet[[#This Row],[hargaSatuan]]</f>
        <v>0</v>
      </c>
      <c r="S162" s="32">
        <f t="shared" si="4"/>
        <v>0</v>
      </c>
      <c r="T162" s="32">
        <f t="shared" si="5"/>
        <v>0</v>
      </c>
    </row>
    <row r="163" spans="1:59" ht="14.4" x14ac:dyDescent="0.3">
      <c r="A163" s="44">
        <v>154</v>
      </c>
      <c r="B163" s="45" t="s">
        <v>256</v>
      </c>
      <c r="C163" s="46" t="s">
        <v>52</v>
      </c>
      <c r="D163" s="47" t="s">
        <v>257</v>
      </c>
      <c r="E163" s="48">
        <v>46905</v>
      </c>
      <c r="F163" s="49">
        <v>278</v>
      </c>
      <c r="G163" s="45" t="s">
        <v>18</v>
      </c>
      <c r="H163" s="50">
        <v>0</v>
      </c>
      <c r="I163" s="49">
        <f>tablet[[#This Row],[qtySaldoAwalSem1]]*tablet[[#This Row],[hargaSatuan]]</f>
        <v>0</v>
      </c>
      <c r="J163" s="50">
        <v>30000</v>
      </c>
      <c r="K163" s="51">
        <f>tablet[[#This Row],[qtyTerima2025]]*tablet[[#This Row],[hargaSatuan]]</f>
        <v>8340000</v>
      </c>
      <c r="L163" s="50">
        <v>30000</v>
      </c>
      <c r="M163" s="51">
        <f>tablet[[#This Row],[qtyDist2025]]*tablet[[#This Row],[hargaSatuan]]</f>
        <v>8340000</v>
      </c>
      <c r="N163" s="50">
        <v>0</v>
      </c>
      <c r="O163" s="51">
        <f>tablet[[#This Row],[qtyEd2025]]*tablet[[#This Row],[hargaSatuan]]</f>
        <v>0</v>
      </c>
      <c r="P163" s="50">
        <v>0</v>
      </c>
      <c r="Q163" s="52">
        <f>tablet[[#This Row],[qtySaldoAkhir2025]]*tablet[[#This Row],[hargaSatuan]]</f>
        <v>0</v>
      </c>
      <c r="S163" s="32">
        <f t="shared" si="4"/>
        <v>0</v>
      </c>
      <c r="T163" s="32">
        <f t="shared" si="5"/>
        <v>0</v>
      </c>
    </row>
    <row r="164" spans="1:59" ht="14.4" x14ac:dyDescent="0.3">
      <c r="A164" s="44">
        <v>155</v>
      </c>
      <c r="B164" s="45" t="s">
        <v>256</v>
      </c>
      <c r="C164" s="46" t="s">
        <v>52</v>
      </c>
      <c r="D164" s="47" t="s">
        <v>258</v>
      </c>
      <c r="E164" s="48">
        <v>46568</v>
      </c>
      <c r="F164" s="49">
        <v>169.83</v>
      </c>
      <c r="G164" s="45" t="s">
        <v>18</v>
      </c>
      <c r="H164" s="50">
        <v>0</v>
      </c>
      <c r="I164" s="49">
        <f>tablet[[#This Row],[qtySaldoAwalSem1]]*tablet[[#This Row],[hargaSatuan]]</f>
        <v>0</v>
      </c>
      <c r="J164" s="50">
        <v>40000</v>
      </c>
      <c r="K164" s="51">
        <f>tablet[[#This Row],[qtyTerima2025]]*tablet[[#This Row],[hargaSatuan]]</f>
        <v>6793200.0000000009</v>
      </c>
      <c r="L164" s="50">
        <v>29700</v>
      </c>
      <c r="M164" s="51">
        <f>tablet[[#This Row],[qtyDist2025]]*tablet[[#This Row],[hargaSatuan]]</f>
        <v>5043951</v>
      </c>
      <c r="N164" s="50">
        <v>0</v>
      </c>
      <c r="O164" s="51">
        <f>tablet[[#This Row],[qtyEd2025]]*tablet[[#This Row],[hargaSatuan]]</f>
        <v>0</v>
      </c>
      <c r="P164" s="50">
        <v>10300</v>
      </c>
      <c r="Q164" s="52">
        <f>tablet[[#This Row],[qtySaldoAkhir2025]]*tablet[[#This Row],[hargaSatuan]]</f>
        <v>1749249.0000000002</v>
      </c>
      <c r="S164" s="32">
        <f t="shared" si="4"/>
        <v>1749249.0000000009</v>
      </c>
      <c r="T164" s="32">
        <f t="shared" si="5"/>
        <v>-6.9849193096160889E-10</v>
      </c>
    </row>
    <row r="165" spans="1:59" ht="14.4" x14ac:dyDescent="0.3">
      <c r="A165" s="44">
        <v>156</v>
      </c>
      <c r="B165" s="45" t="s">
        <v>259</v>
      </c>
      <c r="C165" s="46" t="s">
        <v>52</v>
      </c>
      <c r="D165" s="47" t="s">
        <v>260</v>
      </c>
      <c r="E165" s="48">
        <v>46447</v>
      </c>
      <c r="F165" s="49">
        <v>118</v>
      </c>
      <c r="G165" s="45" t="s">
        <v>54</v>
      </c>
      <c r="H165" s="50">
        <v>14000</v>
      </c>
      <c r="I165" s="49">
        <f>tablet[[#This Row],[qtySaldoAwalSem1]]*tablet[[#This Row],[hargaSatuan]]</f>
        <v>1652000</v>
      </c>
      <c r="J165" s="50">
        <v>0</v>
      </c>
      <c r="K165" s="51">
        <f>tablet[[#This Row],[qtyTerima2025]]*tablet[[#This Row],[hargaSatuan]]</f>
        <v>0</v>
      </c>
      <c r="L165" s="50">
        <v>0</v>
      </c>
      <c r="M165" s="51">
        <f>tablet[[#This Row],[qtyDist2025]]*tablet[[#This Row],[hargaSatuan]]</f>
        <v>0</v>
      </c>
      <c r="N165" s="50">
        <v>0</v>
      </c>
      <c r="O165" s="51">
        <f>tablet[[#This Row],[qtyEd2025]]*tablet[[#This Row],[hargaSatuan]]</f>
        <v>0</v>
      </c>
      <c r="P165" s="50">
        <v>14000</v>
      </c>
      <c r="Q165" s="52">
        <f>tablet[[#This Row],[qtySaldoAkhir2025]]*tablet[[#This Row],[hargaSatuan]]</f>
        <v>1652000</v>
      </c>
      <c r="S165" s="32">
        <f t="shared" si="4"/>
        <v>1652000</v>
      </c>
      <c r="T165" s="32">
        <f t="shared" si="5"/>
        <v>0</v>
      </c>
    </row>
    <row r="166" spans="1:59" ht="14.4" x14ac:dyDescent="0.3">
      <c r="A166" s="44">
        <v>157</v>
      </c>
      <c r="B166" s="45" t="s">
        <v>261</v>
      </c>
      <c r="C166" s="46" t="s">
        <v>52</v>
      </c>
      <c r="D166" s="47" t="s">
        <v>262</v>
      </c>
      <c r="E166" s="48">
        <v>46266</v>
      </c>
      <c r="F166" s="49">
        <v>70</v>
      </c>
      <c r="G166" s="45" t="s">
        <v>54</v>
      </c>
      <c r="H166" s="50">
        <v>9600</v>
      </c>
      <c r="I166" s="49">
        <f>tablet[[#This Row],[qtySaldoAwalSem1]]*tablet[[#This Row],[hargaSatuan]]</f>
        <v>672000</v>
      </c>
      <c r="J166" s="50">
        <v>0</v>
      </c>
      <c r="K166" s="51">
        <f>tablet[[#This Row],[qtyTerima2025]]*tablet[[#This Row],[hargaSatuan]]</f>
        <v>0</v>
      </c>
      <c r="L166" s="50">
        <v>2200</v>
      </c>
      <c r="M166" s="51">
        <f>tablet[[#This Row],[qtyDist2025]]*tablet[[#This Row],[hargaSatuan]]</f>
        <v>154000</v>
      </c>
      <c r="N166" s="50">
        <v>0</v>
      </c>
      <c r="O166" s="51">
        <f>tablet[[#This Row],[qtyEd2025]]*tablet[[#This Row],[hargaSatuan]]</f>
        <v>0</v>
      </c>
      <c r="P166" s="50">
        <v>7400</v>
      </c>
      <c r="Q166" s="52">
        <f>tablet[[#This Row],[qtySaldoAkhir2025]]*tablet[[#This Row],[hargaSatuan]]</f>
        <v>518000</v>
      </c>
      <c r="S166" s="32">
        <f t="shared" si="4"/>
        <v>518000</v>
      </c>
      <c r="T166" s="32">
        <f t="shared" si="5"/>
        <v>0</v>
      </c>
    </row>
    <row r="167" spans="1:59" ht="14.4" x14ac:dyDescent="0.3">
      <c r="A167" s="44">
        <v>158</v>
      </c>
      <c r="B167" s="45" t="s">
        <v>263</v>
      </c>
      <c r="C167" s="46" t="s">
        <v>52</v>
      </c>
      <c r="D167" s="47">
        <v>1402889</v>
      </c>
      <c r="E167" s="48">
        <v>46784</v>
      </c>
      <c r="F167" s="49">
        <v>230</v>
      </c>
      <c r="G167" s="45" t="s">
        <v>54</v>
      </c>
      <c r="H167" s="50">
        <v>7800</v>
      </c>
      <c r="I167" s="49">
        <f>tablet[[#This Row],[qtySaldoAwalSem1]]*tablet[[#This Row],[hargaSatuan]]</f>
        <v>1794000</v>
      </c>
      <c r="J167" s="50">
        <v>0</v>
      </c>
      <c r="K167" s="51">
        <f>tablet[[#This Row],[qtyTerima2025]]*tablet[[#This Row],[hargaSatuan]]</f>
        <v>0</v>
      </c>
      <c r="L167" s="50">
        <v>7800</v>
      </c>
      <c r="M167" s="51">
        <f>tablet[[#This Row],[qtyDist2025]]*tablet[[#This Row],[hargaSatuan]]</f>
        <v>1794000</v>
      </c>
      <c r="N167" s="50">
        <v>0</v>
      </c>
      <c r="O167" s="51">
        <f>tablet[[#This Row],[qtyEd2025]]*tablet[[#This Row],[hargaSatuan]]</f>
        <v>0</v>
      </c>
      <c r="P167" s="50">
        <v>0</v>
      </c>
      <c r="Q167" s="52">
        <f>tablet[[#This Row],[qtySaldoAkhir2025]]*tablet[[#This Row],[hargaSatuan]]</f>
        <v>0</v>
      </c>
      <c r="S167" s="32">
        <f t="shared" si="4"/>
        <v>0</v>
      </c>
      <c r="T167" s="32">
        <f t="shared" si="5"/>
        <v>0</v>
      </c>
    </row>
    <row r="168" spans="1:59" ht="14.4" x14ac:dyDescent="0.3">
      <c r="A168" s="44">
        <v>159</v>
      </c>
      <c r="B168" s="45" t="s">
        <v>263</v>
      </c>
      <c r="C168" s="46" t="s">
        <v>52</v>
      </c>
      <c r="D168" s="47">
        <v>240609129</v>
      </c>
      <c r="E168" s="48">
        <v>47299</v>
      </c>
      <c r="F168" s="49">
        <v>200.91</v>
      </c>
      <c r="G168" s="45" t="s">
        <v>40</v>
      </c>
      <c r="H168" s="50">
        <v>0</v>
      </c>
      <c r="I168" s="49">
        <f>tablet[[#This Row],[qtySaldoAwalSem1]]*tablet[[#This Row],[hargaSatuan]]</f>
        <v>0</v>
      </c>
      <c r="J168" s="50">
        <v>5000</v>
      </c>
      <c r="K168" s="51">
        <f>tablet[[#This Row],[qtyTerima2025]]*tablet[[#This Row],[hargaSatuan]]</f>
        <v>1004550</v>
      </c>
      <c r="L168" s="50">
        <v>5000</v>
      </c>
      <c r="M168" s="51">
        <f>tablet[[#This Row],[qtyDist2025]]*tablet[[#This Row],[hargaSatuan]]</f>
        <v>1004550</v>
      </c>
      <c r="N168" s="50">
        <v>0</v>
      </c>
      <c r="O168" s="51">
        <f>tablet[[#This Row],[qtyEd2025]]*tablet[[#This Row],[hargaSatuan]]</f>
        <v>0</v>
      </c>
      <c r="P168" s="50">
        <v>0</v>
      </c>
      <c r="Q168" s="52">
        <f>tablet[[#This Row],[qtySaldoAkhir2025]]*tablet[[#This Row],[hargaSatuan]]</f>
        <v>0</v>
      </c>
      <c r="S168" s="32">
        <f t="shared" si="4"/>
        <v>0</v>
      </c>
      <c r="T168" s="32">
        <f t="shared" si="5"/>
        <v>0</v>
      </c>
    </row>
    <row r="169" spans="1:59" ht="14.4" x14ac:dyDescent="0.3">
      <c r="A169" s="44">
        <v>160</v>
      </c>
      <c r="B169" s="45" t="s">
        <v>264</v>
      </c>
      <c r="C169" s="46" t="s">
        <v>147</v>
      </c>
      <c r="D169" s="47">
        <v>2403015</v>
      </c>
      <c r="E169" s="48">
        <v>46082</v>
      </c>
      <c r="F169" s="49">
        <v>4300</v>
      </c>
      <c r="G169" s="45" t="s">
        <v>40</v>
      </c>
      <c r="H169" s="50">
        <v>7080</v>
      </c>
      <c r="I169" s="49">
        <f>tablet[[#This Row],[qtySaldoAwalSem1]]*tablet[[#This Row],[hargaSatuan]]</f>
        <v>30444000</v>
      </c>
      <c r="J169" s="50">
        <v>640</v>
      </c>
      <c r="K169" s="51">
        <f>tablet[[#This Row],[qtyTerima2025]]*tablet[[#This Row],[hargaSatuan]]</f>
        <v>2752000</v>
      </c>
      <c r="L169" s="50">
        <v>480</v>
      </c>
      <c r="M169" s="51">
        <f>tablet[[#This Row],[qtyDist2025]]*tablet[[#This Row],[hargaSatuan]]</f>
        <v>2064000</v>
      </c>
      <c r="N169" s="50">
        <v>0</v>
      </c>
      <c r="O169" s="51">
        <f>tablet[[#This Row],[qtyEd2025]]*tablet[[#This Row],[hargaSatuan]]</f>
        <v>0</v>
      </c>
      <c r="P169" s="50">
        <v>7240</v>
      </c>
      <c r="Q169" s="52">
        <f>tablet[[#This Row],[qtySaldoAkhir2025]]*tablet[[#This Row],[hargaSatuan]]</f>
        <v>31132000</v>
      </c>
      <c r="S169" s="32">
        <f t="shared" si="4"/>
        <v>31132000</v>
      </c>
      <c r="T169" s="32">
        <f t="shared" si="5"/>
        <v>0</v>
      </c>
    </row>
    <row r="170" spans="1:59" ht="14.4" x14ac:dyDescent="0.3">
      <c r="A170" s="44">
        <v>161</v>
      </c>
      <c r="B170" s="45" t="s">
        <v>265</v>
      </c>
      <c r="C170" s="46" t="s">
        <v>266</v>
      </c>
      <c r="D170" s="47" t="s">
        <v>267</v>
      </c>
      <c r="E170" s="48">
        <v>46081</v>
      </c>
      <c r="F170" s="49">
        <v>5785.32</v>
      </c>
      <c r="G170" s="45" t="s">
        <v>40</v>
      </c>
      <c r="H170" s="50">
        <v>0</v>
      </c>
      <c r="I170" s="49">
        <f>tablet[[#This Row],[qtySaldoAwalSem1]]*tablet[[#This Row],[hargaSatuan]]</f>
        <v>0</v>
      </c>
      <c r="J170" s="50">
        <v>1000</v>
      </c>
      <c r="K170" s="51">
        <f>tablet[[#This Row],[qtyTerima2025]]*tablet[[#This Row],[hargaSatuan]]</f>
        <v>5785320</v>
      </c>
      <c r="L170" s="50">
        <v>720</v>
      </c>
      <c r="M170" s="51">
        <f>tablet[[#This Row],[qtyDist2025]]*tablet[[#This Row],[hargaSatuan]]</f>
        <v>4165430.4</v>
      </c>
      <c r="N170" s="50">
        <v>0</v>
      </c>
      <c r="O170" s="51">
        <f>tablet[[#This Row],[qtyEd2025]]*tablet[[#This Row],[hargaSatuan]]</f>
        <v>0</v>
      </c>
      <c r="P170" s="50">
        <v>280</v>
      </c>
      <c r="Q170" s="52">
        <f>tablet[[#This Row],[qtySaldoAkhir2025]]*tablet[[#This Row],[hargaSatuan]]</f>
        <v>1619889.5999999999</v>
      </c>
      <c r="S170" s="32">
        <f t="shared" si="4"/>
        <v>1619889.6</v>
      </c>
      <c r="T170" s="32">
        <f t="shared" si="5"/>
        <v>-2.3283064365386963E-10</v>
      </c>
    </row>
    <row r="171" spans="1:59" ht="14.4" x14ac:dyDescent="0.3">
      <c r="A171" s="44">
        <v>162</v>
      </c>
      <c r="B171" s="45" t="s">
        <v>268</v>
      </c>
      <c r="C171" s="46" t="s">
        <v>52</v>
      </c>
      <c r="D171" s="47">
        <v>86003009</v>
      </c>
      <c r="E171" s="48">
        <v>46568</v>
      </c>
      <c r="F171" s="49">
        <v>1561.77</v>
      </c>
      <c r="G171" s="45" t="s">
        <v>18</v>
      </c>
      <c r="H171" s="50">
        <v>0</v>
      </c>
      <c r="I171" s="49">
        <f>tablet[[#This Row],[qtySaldoAwalSem1]]*tablet[[#This Row],[hargaSatuan]]</f>
        <v>0</v>
      </c>
      <c r="J171" s="50">
        <v>1400</v>
      </c>
      <c r="K171" s="51">
        <f>tablet[[#This Row],[qtyTerima2025]]*tablet[[#This Row],[hargaSatuan]]</f>
        <v>2186478</v>
      </c>
      <c r="L171" s="50">
        <v>1400</v>
      </c>
      <c r="M171" s="51">
        <f>tablet[[#This Row],[qtyDist2025]]*tablet[[#This Row],[hargaSatuan]]</f>
        <v>2186478</v>
      </c>
      <c r="N171" s="50">
        <v>0</v>
      </c>
      <c r="O171" s="51">
        <f>tablet[[#This Row],[qtyEd2025]]*tablet[[#This Row],[hargaSatuan]]</f>
        <v>0</v>
      </c>
      <c r="P171" s="50">
        <v>0</v>
      </c>
      <c r="Q171" s="52">
        <f>tablet[[#This Row],[qtySaldoAkhir2025]]*tablet[[#This Row],[hargaSatuan]]</f>
        <v>0</v>
      </c>
      <c r="S171" s="32">
        <f t="shared" si="4"/>
        <v>0</v>
      </c>
      <c r="T171" s="32">
        <f t="shared" si="5"/>
        <v>0</v>
      </c>
      <c r="W171" s="53"/>
    </row>
    <row r="172" spans="1:59" ht="14.4" x14ac:dyDescent="0.3">
      <c r="A172" s="44">
        <v>163</v>
      </c>
      <c r="B172" s="45" t="s">
        <v>268</v>
      </c>
      <c r="C172" s="46" t="s">
        <v>52</v>
      </c>
      <c r="D172" s="47">
        <v>86003013</v>
      </c>
      <c r="E172" s="48">
        <v>46965</v>
      </c>
      <c r="F172" s="49">
        <v>1561.77</v>
      </c>
      <c r="G172" s="45" t="s">
        <v>18</v>
      </c>
      <c r="H172" s="50">
        <v>0</v>
      </c>
      <c r="I172" s="49">
        <f>tablet[[#This Row],[qtySaldoAwalSem1]]*tablet[[#This Row],[hargaSatuan]]</f>
        <v>0</v>
      </c>
      <c r="J172" s="50">
        <v>55100</v>
      </c>
      <c r="K172" s="51">
        <f>tablet[[#This Row],[qtyTerima2025]]*tablet[[#This Row],[hargaSatuan]]</f>
        <v>86053527</v>
      </c>
      <c r="L172" s="50">
        <v>29800</v>
      </c>
      <c r="M172" s="51">
        <f>tablet[[#This Row],[qtyDist2025]]*tablet[[#This Row],[hargaSatuan]]</f>
        <v>46540746</v>
      </c>
      <c r="N172" s="50">
        <v>0</v>
      </c>
      <c r="O172" s="51">
        <f>tablet[[#This Row],[qtyEd2025]]*tablet[[#This Row],[hargaSatuan]]</f>
        <v>0</v>
      </c>
      <c r="P172" s="50">
        <v>25300</v>
      </c>
      <c r="Q172" s="52">
        <f>tablet[[#This Row],[qtySaldoAkhir2025]]*tablet[[#This Row],[hargaSatuan]]</f>
        <v>39512781</v>
      </c>
      <c r="S172" s="32">
        <f t="shared" si="4"/>
        <v>39512781</v>
      </c>
      <c r="T172" s="32">
        <f t="shared" si="5"/>
        <v>0</v>
      </c>
      <c r="W172" s="53"/>
    </row>
    <row r="173" spans="1:59" ht="14.4" x14ac:dyDescent="0.3">
      <c r="A173" s="44">
        <v>164</v>
      </c>
      <c r="B173" s="45" t="s">
        <v>268</v>
      </c>
      <c r="C173" s="46" t="s">
        <v>52</v>
      </c>
      <c r="D173" s="47">
        <v>86003012</v>
      </c>
      <c r="E173" s="48">
        <v>46965</v>
      </c>
      <c r="F173" s="49">
        <v>1561.77</v>
      </c>
      <c r="G173" s="45" t="s">
        <v>18</v>
      </c>
      <c r="H173" s="50">
        <v>0</v>
      </c>
      <c r="I173" s="49">
        <f>tablet[[#This Row],[qtySaldoAwalSem1]]*tablet[[#This Row],[hargaSatuan]]</f>
        <v>0</v>
      </c>
      <c r="J173" s="50">
        <v>18800</v>
      </c>
      <c r="K173" s="51">
        <f>tablet[[#This Row],[qtyTerima2025]]*tablet[[#This Row],[hargaSatuan]]</f>
        <v>29361276</v>
      </c>
      <c r="L173" s="50">
        <v>18800</v>
      </c>
      <c r="M173" s="51">
        <f>tablet[[#This Row],[qtyDist2025]]*tablet[[#This Row],[hargaSatuan]]</f>
        <v>29361276</v>
      </c>
      <c r="N173" s="50">
        <v>0</v>
      </c>
      <c r="O173" s="51">
        <f>tablet[[#This Row],[qtyEd2025]]*tablet[[#This Row],[hargaSatuan]]</f>
        <v>0</v>
      </c>
      <c r="P173" s="50">
        <v>0</v>
      </c>
      <c r="Q173" s="52">
        <f>tablet[[#This Row],[qtySaldoAkhir2025]]*tablet[[#This Row],[hargaSatuan]]</f>
        <v>0</v>
      </c>
      <c r="S173" s="32">
        <f t="shared" si="4"/>
        <v>0</v>
      </c>
      <c r="T173" s="32">
        <f t="shared" si="5"/>
        <v>0</v>
      </c>
    </row>
    <row r="174" spans="1:59" ht="14.4" x14ac:dyDescent="0.3">
      <c r="A174" s="44">
        <v>165</v>
      </c>
      <c r="B174" s="45" t="s">
        <v>269</v>
      </c>
      <c r="C174" s="46" t="s">
        <v>52</v>
      </c>
      <c r="D174" s="47">
        <v>66022006</v>
      </c>
      <c r="E174" s="48">
        <v>45870</v>
      </c>
      <c r="F174" s="49">
        <v>2747</v>
      </c>
      <c r="G174" s="45" t="s">
        <v>43</v>
      </c>
      <c r="H174" s="50">
        <v>1600</v>
      </c>
      <c r="I174" s="49">
        <f>tablet[[#This Row],[qtySaldoAwalSem1]]*tablet[[#This Row],[hargaSatuan]]</f>
        <v>4395200</v>
      </c>
      <c r="J174" s="50">
        <v>0</v>
      </c>
      <c r="K174" s="51">
        <f>tablet[[#This Row],[qtyTerima2025]]*tablet[[#This Row],[hargaSatuan]]</f>
        <v>0</v>
      </c>
      <c r="L174" s="50">
        <v>1600</v>
      </c>
      <c r="M174" s="51">
        <f>tablet[[#This Row],[qtyDist2025]]*tablet[[#This Row],[hargaSatuan]]</f>
        <v>4395200</v>
      </c>
      <c r="N174" s="50">
        <v>0</v>
      </c>
      <c r="O174" s="51">
        <f>tablet[[#This Row],[qtyEd2025]]*tablet[[#This Row],[hargaSatuan]]</f>
        <v>0</v>
      </c>
      <c r="P174" s="50">
        <v>0</v>
      </c>
      <c r="Q174" s="52">
        <f>tablet[[#This Row],[qtySaldoAkhir2025]]*tablet[[#This Row],[hargaSatuan]]</f>
        <v>0</v>
      </c>
      <c r="S174" s="32">
        <f t="shared" si="4"/>
        <v>0</v>
      </c>
      <c r="T174" s="32">
        <f t="shared" si="5"/>
        <v>0</v>
      </c>
    </row>
    <row r="175" spans="1:59" ht="14.4" x14ac:dyDescent="0.3">
      <c r="A175" s="44">
        <v>166</v>
      </c>
      <c r="B175" s="45" t="s">
        <v>270</v>
      </c>
      <c r="C175" s="46" t="s">
        <v>47</v>
      </c>
      <c r="D175" s="47" t="s">
        <v>271</v>
      </c>
      <c r="E175" s="48">
        <v>46446</v>
      </c>
      <c r="F175" s="49">
        <v>4400</v>
      </c>
      <c r="G175" s="45" t="s">
        <v>40</v>
      </c>
      <c r="H175" s="50">
        <v>0</v>
      </c>
      <c r="I175" s="49">
        <f>tablet[[#This Row],[qtySaldoAwalSem1]]*tablet[[#This Row],[hargaSatuan]]</f>
        <v>0</v>
      </c>
      <c r="J175" s="50">
        <v>330</v>
      </c>
      <c r="K175" s="51">
        <f>tablet[[#This Row],[qtyTerima2025]]*tablet[[#This Row],[hargaSatuan]]</f>
        <v>1452000</v>
      </c>
      <c r="L175" s="50">
        <v>330</v>
      </c>
      <c r="M175" s="51">
        <f>tablet[[#This Row],[qtyDist2025]]*tablet[[#This Row],[hargaSatuan]]</f>
        <v>1452000</v>
      </c>
      <c r="N175" s="50">
        <v>0</v>
      </c>
      <c r="O175" s="51">
        <f>tablet[[#This Row],[qtyEd2025]]*tablet[[#This Row],[hargaSatuan]]</f>
        <v>0</v>
      </c>
      <c r="P175" s="50">
        <v>0</v>
      </c>
      <c r="Q175" s="52">
        <f>tablet[[#This Row],[qtySaldoAkhir2025]]*tablet[[#This Row],[hargaSatuan]]</f>
        <v>0</v>
      </c>
      <c r="R175" s="53"/>
      <c r="S175" s="32">
        <f t="shared" si="4"/>
        <v>0</v>
      </c>
      <c r="T175" s="32">
        <f t="shared" si="5"/>
        <v>0</v>
      </c>
      <c r="U175" s="53"/>
      <c r="V175" s="53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  <c r="AH175" s="53"/>
      <c r="AI175" s="53"/>
      <c r="AJ175" s="53"/>
      <c r="AK175" s="53"/>
      <c r="AL175" s="53"/>
      <c r="AM175" s="53"/>
      <c r="AN175" s="53"/>
      <c r="AO175" s="53"/>
      <c r="AP175" s="53"/>
      <c r="AQ175" s="53"/>
      <c r="AR175" s="53"/>
      <c r="AS175" s="53"/>
      <c r="AT175" s="53"/>
      <c r="AU175" s="53"/>
      <c r="AV175" s="53"/>
      <c r="AW175" s="53"/>
      <c r="AX175" s="53"/>
      <c r="AY175" s="53"/>
      <c r="AZ175" s="53"/>
      <c r="BA175" s="53"/>
      <c r="BB175" s="53"/>
      <c r="BC175" s="53"/>
      <c r="BD175" s="53"/>
      <c r="BE175" s="53"/>
      <c r="BF175" s="53"/>
      <c r="BG175" s="53"/>
    </row>
    <row r="176" spans="1:59" ht="14.4" x14ac:dyDescent="0.3">
      <c r="A176" s="44">
        <v>167</v>
      </c>
      <c r="B176" s="45" t="s">
        <v>270</v>
      </c>
      <c r="C176" s="46" t="s">
        <v>47</v>
      </c>
      <c r="D176" s="47" t="s">
        <v>272</v>
      </c>
      <c r="E176" s="48">
        <v>46446</v>
      </c>
      <c r="F176" s="49">
        <v>3663</v>
      </c>
      <c r="G176" s="45" t="s">
        <v>40</v>
      </c>
      <c r="H176" s="50">
        <v>0</v>
      </c>
      <c r="I176" s="49">
        <f>tablet[[#This Row],[qtySaldoAwalSem1]]*tablet[[#This Row],[hargaSatuan]]</f>
        <v>0</v>
      </c>
      <c r="J176" s="50">
        <v>200</v>
      </c>
      <c r="K176" s="51">
        <f>tablet[[#This Row],[qtyTerima2025]]*tablet[[#This Row],[hargaSatuan]]</f>
        <v>732600</v>
      </c>
      <c r="L176" s="50">
        <v>200</v>
      </c>
      <c r="M176" s="51">
        <f>tablet[[#This Row],[qtyDist2025]]*tablet[[#This Row],[hargaSatuan]]</f>
        <v>732600</v>
      </c>
      <c r="N176" s="50">
        <v>0</v>
      </c>
      <c r="O176" s="51">
        <f>tablet[[#This Row],[qtyEd2025]]*tablet[[#This Row],[hargaSatuan]]</f>
        <v>0</v>
      </c>
      <c r="P176" s="50">
        <v>0</v>
      </c>
      <c r="Q176" s="52">
        <f>tablet[[#This Row],[qtySaldoAkhir2025]]*tablet[[#This Row],[hargaSatuan]]</f>
        <v>0</v>
      </c>
      <c r="R176" s="53"/>
      <c r="S176" s="32">
        <f t="shared" si="4"/>
        <v>0</v>
      </c>
      <c r="T176" s="32">
        <f t="shared" si="5"/>
        <v>0</v>
      </c>
      <c r="U176" s="53"/>
      <c r="V176" s="53"/>
      <c r="X176" s="53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  <c r="AI176" s="53"/>
      <c r="AJ176" s="53"/>
      <c r="AK176" s="53"/>
      <c r="AL176" s="53"/>
      <c r="AM176" s="53"/>
      <c r="AN176" s="53"/>
      <c r="AO176" s="53"/>
      <c r="AP176" s="53"/>
      <c r="AQ176" s="53"/>
      <c r="AR176" s="53"/>
      <c r="AS176" s="53"/>
      <c r="AT176" s="53"/>
      <c r="AU176" s="53"/>
      <c r="AV176" s="53"/>
      <c r="AW176" s="53"/>
      <c r="AX176" s="53"/>
      <c r="AY176" s="53"/>
      <c r="AZ176" s="53"/>
      <c r="BA176" s="53"/>
      <c r="BB176" s="53"/>
      <c r="BC176" s="53"/>
      <c r="BD176" s="53"/>
      <c r="BE176" s="53"/>
      <c r="BF176" s="53"/>
      <c r="BG176" s="53"/>
    </row>
    <row r="177" spans="1:59" ht="14.4" x14ac:dyDescent="0.3">
      <c r="A177" s="44">
        <v>168</v>
      </c>
      <c r="B177" s="45" t="s">
        <v>273</v>
      </c>
      <c r="C177" s="46" t="s">
        <v>52</v>
      </c>
      <c r="D177" s="47">
        <v>66364013</v>
      </c>
      <c r="E177" s="48">
        <v>45931</v>
      </c>
      <c r="F177" s="49">
        <v>244</v>
      </c>
      <c r="G177" s="45" t="s">
        <v>54</v>
      </c>
      <c r="H177" s="50">
        <v>250</v>
      </c>
      <c r="I177" s="49">
        <f>tablet[[#This Row],[qtySaldoAwalSem1]]*tablet[[#This Row],[hargaSatuan]]</f>
        <v>61000</v>
      </c>
      <c r="J177" s="50">
        <v>0</v>
      </c>
      <c r="K177" s="51">
        <f>tablet[[#This Row],[qtyTerima2025]]*tablet[[#This Row],[hargaSatuan]]</f>
        <v>0</v>
      </c>
      <c r="L177" s="50">
        <v>250</v>
      </c>
      <c r="M177" s="51">
        <f>tablet[[#This Row],[qtyDist2025]]*tablet[[#This Row],[hargaSatuan]]</f>
        <v>61000</v>
      </c>
      <c r="N177" s="50">
        <v>0</v>
      </c>
      <c r="O177" s="51">
        <f>tablet[[#This Row],[qtyEd2025]]*tablet[[#This Row],[hargaSatuan]]</f>
        <v>0</v>
      </c>
      <c r="P177" s="50">
        <v>0</v>
      </c>
      <c r="Q177" s="52">
        <f>tablet[[#This Row],[qtySaldoAkhir2025]]*tablet[[#This Row],[hargaSatuan]]</f>
        <v>0</v>
      </c>
      <c r="S177" s="32">
        <f t="shared" si="4"/>
        <v>0</v>
      </c>
      <c r="T177" s="32">
        <f t="shared" si="5"/>
        <v>0</v>
      </c>
    </row>
    <row r="178" spans="1:59" ht="14.4" x14ac:dyDescent="0.3">
      <c r="A178" s="44">
        <v>169</v>
      </c>
      <c r="B178" s="45" t="s">
        <v>273</v>
      </c>
      <c r="C178" s="46" t="s">
        <v>52</v>
      </c>
      <c r="D178" s="47">
        <v>76364003</v>
      </c>
      <c r="E178" s="48">
        <v>46143</v>
      </c>
      <c r="F178" s="49">
        <v>244</v>
      </c>
      <c r="G178" s="45" t="s">
        <v>54</v>
      </c>
      <c r="H178" s="50">
        <v>45550</v>
      </c>
      <c r="I178" s="49">
        <f>tablet[[#This Row],[qtySaldoAwalSem1]]*tablet[[#This Row],[hargaSatuan]]</f>
        <v>11114200</v>
      </c>
      <c r="J178" s="50">
        <v>0</v>
      </c>
      <c r="K178" s="51">
        <f>tablet[[#This Row],[qtyTerima2025]]*tablet[[#This Row],[hargaSatuan]]</f>
        <v>0</v>
      </c>
      <c r="L178" s="50">
        <v>45550</v>
      </c>
      <c r="M178" s="51">
        <f>tablet[[#This Row],[qtyDist2025]]*tablet[[#This Row],[hargaSatuan]]</f>
        <v>11114200</v>
      </c>
      <c r="N178" s="50">
        <v>0</v>
      </c>
      <c r="O178" s="51">
        <f>tablet[[#This Row],[qtyEd2025]]*tablet[[#This Row],[hargaSatuan]]</f>
        <v>0</v>
      </c>
      <c r="P178" s="50">
        <v>0</v>
      </c>
      <c r="Q178" s="52">
        <f>tablet[[#This Row],[qtySaldoAkhir2025]]*tablet[[#This Row],[hargaSatuan]]</f>
        <v>0</v>
      </c>
      <c r="S178" s="32">
        <f t="shared" si="4"/>
        <v>0</v>
      </c>
      <c r="T178" s="32">
        <f t="shared" si="5"/>
        <v>0</v>
      </c>
    </row>
    <row r="179" spans="1:59" ht="14.4" x14ac:dyDescent="0.3">
      <c r="A179" s="44">
        <v>170</v>
      </c>
      <c r="B179" s="45" t="s">
        <v>273</v>
      </c>
      <c r="C179" s="46" t="s">
        <v>52</v>
      </c>
      <c r="D179" s="47">
        <v>86364003</v>
      </c>
      <c r="E179" s="48">
        <v>46541</v>
      </c>
      <c r="F179" s="49">
        <v>244</v>
      </c>
      <c r="G179" s="45" t="s">
        <v>18</v>
      </c>
      <c r="H179" s="50">
        <v>0</v>
      </c>
      <c r="I179" s="49">
        <f>tablet[[#This Row],[qtySaldoAwalSem1]]*tablet[[#This Row],[hargaSatuan]]</f>
        <v>0</v>
      </c>
      <c r="J179" s="50">
        <v>84000</v>
      </c>
      <c r="K179" s="51">
        <f>tablet[[#This Row],[qtyTerima2025]]*tablet[[#This Row],[hargaSatuan]]</f>
        <v>20496000</v>
      </c>
      <c r="L179" s="50">
        <v>80600</v>
      </c>
      <c r="M179" s="51">
        <f>tablet[[#This Row],[qtyDist2025]]*tablet[[#This Row],[hargaSatuan]]</f>
        <v>19666400</v>
      </c>
      <c r="N179" s="50">
        <v>0</v>
      </c>
      <c r="O179" s="51">
        <f>tablet[[#This Row],[qtyEd2025]]*tablet[[#This Row],[hargaSatuan]]</f>
        <v>0</v>
      </c>
      <c r="P179" s="50">
        <v>3400</v>
      </c>
      <c r="Q179" s="52">
        <f>tablet[[#This Row],[qtySaldoAkhir2025]]*tablet[[#This Row],[hargaSatuan]]</f>
        <v>829600</v>
      </c>
      <c r="S179" s="32">
        <f t="shared" si="4"/>
        <v>829600</v>
      </c>
      <c r="T179" s="32">
        <f t="shared" si="5"/>
        <v>0</v>
      </c>
    </row>
    <row r="180" spans="1:59" ht="14.4" x14ac:dyDescent="0.3">
      <c r="A180" s="44">
        <v>171</v>
      </c>
      <c r="B180" s="45" t="s">
        <v>274</v>
      </c>
      <c r="C180" s="46" t="s">
        <v>52</v>
      </c>
      <c r="D180" s="47" t="s">
        <v>275</v>
      </c>
      <c r="E180" s="48">
        <v>47026</v>
      </c>
      <c r="F180" s="49">
        <v>173</v>
      </c>
      <c r="G180" s="45" t="s">
        <v>18</v>
      </c>
      <c r="H180" s="50">
        <v>0</v>
      </c>
      <c r="I180" s="49">
        <f>tablet[[#This Row],[qtySaldoAwalSem1]]*tablet[[#This Row],[hargaSatuan]]</f>
        <v>0</v>
      </c>
      <c r="J180" s="50">
        <v>10000</v>
      </c>
      <c r="K180" s="51">
        <f>tablet[[#This Row],[qtyTerima2025]]*tablet[[#This Row],[hargaSatuan]]</f>
        <v>1730000</v>
      </c>
      <c r="L180" s="50">
        <v>1200</v>
      </c>
      <c r="M180" s="51">
        <f>tablet[[#This Row],[qtyDist2025]]*tablet[[#This Row],[hargaSatuan]]</f>
        <v>207600</v>
      </c>
      <c r="N180" s="50">
        <v>0</v>
      </c>
      <c r="O180" s="51">
        <f>tablet[[#This Row],[qtyEd2025]]*tablet[[#This Row],[hargaSatuan]]</f>
        <v>0</v>
      </c>
      <c r="P180" s="50">
        <v>8800</v>
      </c>
      <c r="Q180" s="52">
        <f>tablet[[#This Row],[qtySaldoAkhir2025]]*tablet[[#This Row],[hargaSatuan]]</f>
        <v>1522400</v>
      </c>
      <c r="S180" s="32">
        <f t="shared" si="4"/>
        <v>1522400</v>
      </c>
      <c r="T180" s="32">
        <f t="shared" si="5"/>
        <v>0</v>
      </c>
      <c r="W180" s="53"/>
    </row>
    <row r="181" spans="1:59" ht="14.4" x14ac:dyDescent="0.3">
      <c r="A181" s="44">
        <v>172</v>
      </c>
      <c r="B181" s="45" t="s">
        <v>276</v>
      </c>
      <c r="C181" s="46" t="s">
        <v>52</v>
      </c>
      <c r="D181" s="47">
        <v>56731006</v>
      </c>
      <c r="E181" s="48">
        <v>45992</v>
      </c>
      <c r="F181" s="49">
        <v>1943</v>
      </c>
      <c r="G181" s="45" t="s">
        <v>54</v>
      </c>
      <c r="H181" s="50">
        <v>100</v>
      </c>
      <c r="I181" s="49">
        <f>tablet[[#This Row],[qtySaldoAwalSem1]]*tablet[[#This Row],[hargaSatuan]]</f>
        <v>194300</v>
      </c>
      <c r="J181" s="50">
        <v>0</v>
      </c>
      <c r="K181" s="51">
        <f>tablet[[#This Row],[qtyTerima2025]]*tablet[[#This Row],[hargaSatuan]]</f>
        <v>0</v>
      </c>
      <c r="L181" s="50">
        <v>100</v>
      </c>
      <c r="M181" s="51">
        <f>tablet[[#This Row],[qtyDist2025]]*tablet[[#This Row],[hargaSatuan]]</f>
        <v>194300</v>
      </c>
      <c r="N181" s="50">
        <v>0</v>
      </c>
      <c r="O181" s="51">
        <f>tablet[[#This Row],[qtyEd2025]]*tablet[[#This Row],[hargaSatuan]]</f>
        <v>0</v>
      </c>
      <c r="P181" s="50">
        <v>0</v>
      </c>
      <c r="Q181" s="52">
        <f>tablet[[#This Row],[qtySaldoAkhir2025]]*tablet[[#This Row],[hargaSatuan]]</f>
        <v>0</v>
      </c>
      <c r="S181" s="32">
        <f t="shared" si="4"/>
        <v>0</v>
      </c>
      <c r="T181" s="32">
        <f t="shared" si="5"/>
        <v>0</v>
      </c>
      <c r="W181" s="53"/>
    </row>
    <row r="182" spans="1:59" ht="14.4" x14ac:dyDescent="0.3">
      <c r="A182" s="44">
        <v>173</v>
      </c>
      <c r="B182" s="45" t="s">
        <v>276</v>
      </c>
      <c r="C182" s="46" t="s">
        <v>52</v>
      </c>
      <c r="D182" s="47">
        <v>86371001</v>
      </c>
      <c r="E182" s="48">
        <v>46443</v>
      </c>
      <c r="F182" s="49">
        <v>1943</v>
      </c>
      <c r="G182" s="45" t="s">
        <v>18</v>
      </c>
      <c r="H182" s="50">
        <v>0</v>
      </c>
      <c r="I182" s="49">
        <f>tablet[[#This Row],[qtySaldoAwalSem1]]*tablet[[#This Row],[hargaSatuan]]</f>
        <v>0</v>
      </c>
      <c r="J182" s="50">
        <v>3600</v>
      </c>
      <c r="K182" s="51">
        <f>tablet[[#This Row],[qtyTerima2025]]*tablet[[#This Row],[hargaSatuan]]</f>
        <v>6994800</v>
      </c>
      <c r="L182" s="50">
        <v>800</v>
      </c>
      <c r="M182" s="51">
        <f>tablet[[#This Row],[qtyDist2025]]*tablet[[#This Row],[hargaSatuan]]</f>
        <v>1554400</v>
      </c>
      <c r="N182" s="50">
        <v>0</v>
      </c>
      <c r="O182" s="51">
        <f>tablet[[#This Row],[qtyEd2025]]*tablet[[#This Row],[hargaSatuan]]</f>
        <v>0</v>
      </c>
      <c r="P182" s="50">
        <v>2800</v>
      </c>
      <c r="Q182" s="52">
        <f>tablet[[#This Row],[qtySaldoAkhir2025]]*tablet[[#This Row],[hargaSatuan]]</f>
        <v>5440400</v>
      </c>
      <c r="S182" s="32">
        <f t="shared" si="4"/>
        <v>5440400</v>
      </c>
      <c r="T182" s="32">
        <f t="shared" si="5"/>
        <v>0</v>
      </c>
      <c r="W182" s="53"/>
    </row>
    <row r="183" spans="1:59" ht="14.4" x14ac:dyDescent="0.3">
      <c r="A183" s="44">
        <v>174</v>
      </c>
      <c r="B183" s="45" t="s">
        <v>277</v>
      </c>
      <c r="C183" s="46" t="s">
        <v>38</v>
      </c>
      <c r="D183" s="47" t="s">
        <v>278</v>
      </c>
      <c r="E183" s="48">
        <v>46600</v>
      </c>
      <c r="F183" s="49">
        <v>145200</v>
      </c>
      <c r="G183" s="45" t="s">
        <v>40</v>
      </c>
      <c r="H183" s="50">
        <v>79</v>
      </c>
      <c r="I183" s="49">
        <f>tablet[[#This Row],[qtySaldoAwalSem1]]*tablet[[#This Row],[hargaSatuan]]</f>
        <v>11470800</v>
      </c>
      <c r="J183" s="50">
        <v>195</v>
      </c>
      <c r="K183" s="51">
        <f>tablet[[#This Row],[qtyTerima2025]]*tablet[[#This Row],[hargaSatuan]]</f>
        <v>28314000</v>
      </c>
      <c r="L183" s="50">
        <v>134</v>
      </c>
      <c r="M183" s="51">
        <f>tablet[[#This Row],[qtyDist2025]]*tablet[[#This Row],[hargaSatuan]]</f>
        <v>19456800</v>
      </c>
      <c r="N183" s="50">
        <v>0</v>
      </c>
      <c r="O183" s="51">
        <f>tablet[[#This Row],[qtyEd2025]]*tablet[[#This Row],[hargaSatuan]]</f>
        <v>0</v>
      </c>
      <c r="P183" s="50">
        <v>140</v>
      </c>
      <c r="Q183" s="52">
        <f>tablet[[#This Row],[qtySaldoAkhir2025]]*tablet[[#This Row],[hargaSatuan]]</f>
        <v>20328000</v>
      </c>
      <c r="S183" s="32">
        <f t="shared" si="4"/>
        <v>20328000</v>
      </c>
      <c r="T183" s="32">
        <f t="shared" si="5"/>
        <v>0</v>
      </c>
      <c r="W183" s="53"/>
    </row>
    <row r="184" spans="1:59" ht="14.4" x14ac:dyDescent="0.3">
      <c r="A184" s="44">
        <v>175</v>
      </c>
      <c r="B184" s="45" t="s">
        <v>279</v>
      </c>
      <c r="C184" s="46" t="s">
        <v>280</v>
      </c>
      <c r="D184" s="47" t="s">
        <v>281</v>
      </c>
      <c r="E184" s="48">
        <v>46082</v>
      </c>
      <c r="F184" s="49">
        <v>391234</v>
      </c>
      <c r="G184" s="45" t="s">
        <v>40</v>
      </c>
      <c r="H184" s="50">
        <v>60</v>
      </c>
      <c r="I184" s="49">
        <f>tablet[[#This Row],[qtySaldoAwalSem1]]*tablet[[#This Row],[hargaSatuan]]</f>
        <v>23474040</v>
      </c>
      <c r="J184" s="50">
        <v>0</v>
      </c>
      <c r="K184" s="51">
        <f>tablet[[#This Row],[qtyTerima2025]]*tablet[[#This Row],[hargaSatuan]]</f>
        <v>0</v>
      </c>
      <c r="L184" s="50">
        <v>60</v>
      </c>
      <c r="M184" s="51">
        <f>tablet[[#This Row],[qtyDist2025]]*tablet[[#This Row],[hargaSatuan]]</f>
        <v>23474040</v>
      </c>
      <c r="N184" s="50">
        <v>0</v>
      </c>
      <c r="O184" s="51">
        <f>tablet[[#This Row],[qtyEd2025]]*tablet[[#This Row],[hargaSatuan]]</f>
        <v>0</v>
      </c>
      <c r="P184" s="50">
        <v>0</v>
      </c>
      <c r="Q184" s="52">
        <f>tablet[[#This Row],[qtySaldoAkhir2025]]*tablet[[#This Row],[hargaSatuan]]</f>
        <v>0</v>
      </c>
      <c r="R184" s="53"/>
      <c r="S184" s="32">
        <f t="shared" si="4"/>
        <v>0</v>
      </c>
      <c r="T184" s="32">
        <f t="shared" si="5"/>
        <v>0</v>
      </c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  <c r="AE184" s="53"/>
      <c r="AF184" s="53"/>
      <c r="AG184" s="53"/>
      <c r="AH184" s="53"/>
      <c r="AI184" s="53"/>
      <c r="AJ184" s="53"/>
      <c r="AK184" s="53"/>
      <c r="AL184" s="53"/>
      <c r="AM184" s="53"/>
      <c r="AN184" s="53"/>
      <c r="AO184" s="53"/>
      <c r="AP184" s="53"/>
      <c r="AQ184" s="53"/>
      <c r="AR184" s="53"/>
      <c r="AS184" s="53"/>
      <c r="AT184" s="53"/>
      <c r="AU184" s="53"/>
      <c r="AV184" s="53"/>
      <c r="AW184" s="53"/>
      <c r="AX184" s="53"/>
      <c r="AY184" s="53"/>
      <c r="AZ184" s="53"/>
      <c r="BA184" s="53"/>
      <c r="BB184" s="53"/>
      <c r="BC184" s="53"/>
      <c r="BD184" s="53"/>
      <c r="BE184" s="53"/>
      <c r="BF184" s="53"/>
      <c r="BG184" s="53"/>
    </row>
    <row r="185" spans="1:59" ht="14.4" x14ac:dyDescent="0.3">
      <c r="A185" s="44">
        <v>176</v>
      </c>
      <c r="B185" s="45" t="s">
        <v>279</v>
      </c>
      <c r="C185" s="46" t="s">
        <v>280</v>
      </c>
      <c r="D185" s="47" t="s">
        <v>282</v>
      </c>
      <c r="E185" s="48">
        <v>46356</v>
      </c>
      <c r="F185" s="49">
        <v>402889</v>
      </c>
      <c r="G185" s="45" t="s">
        <v>40</v>
      </c>
      <c r="H185" s="50">
        <v>0</v>
      </c>
      <c r="I185" s="49">
        <f>tablet[[#This Row],[qtySaldoAwalSem1]]*tablet[[#This Row],[hargaSatuan]]</f>
        <v>0</v>
      </c>
      <c r="J185" s="50">
        <v>426</v>
      </c>
      <c r="K185" s="51">
        <f>tablet[[#This Row],[qtyTerima2025]]*tablet[[#This Row],[hargaSatuan]]</f>
        <v>171630714</v>
      </c>
      <c r="L185" s="50">
        <v>119</v>
      </c>
      <c r="M185" s="51">
        <f>tablet[[#This Row],[qtyDist2025]]*tablet[[#This Row],[hargaSatuan]]</f>
        <v>47943791</v>
      </c>
      <c r="N185" s="50">
        <v>0</v>
      </c>
      <c r="O185" s="51">
        <f>tablet[[#This Row],[qtyEd2025]]*tablet[[#This Row],[hargaSatuan]]</f>
        <v>0</v>
      </c>
      <c r="P185" s="50">
        <v>307</v>
      </c>
      <c r="Q185" s="52">
        <f>tablet[[#This Row],[qtySaldoAkhir2025]]*tablet[[#This Row],[hargaSatuan]]</f>
        <v>123686923</v>
      </c>
      <c r="R185" s="53"/>
      <c r="S185" s="32">
        <f t="shared" si="4"/>
        <v>123686923</v>
      </c>
      <c r="T185" s="32">
        <f t="shared" si="5"/>
        <v>0</v>
      </c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  <c r="AI185" s="53"/>
      <c r="AJ185" s="53"/>
      <c r="AK185" s="53"/>
      <c r="AL185" s="53"/>
      <c r="AM185" s="53"/>
      <c r="AN185" s="53"/>
      <c r="AO185" s="53"/>
      <c r="AP185" s="53"/>
      <c r="AQ185" s="53"/>
      <c r="AR185" s="53"/>
      <c r="AS185" s="53"/>
      <c r="AT185" s="53"/>
      <c r="AU185" s="53"/>
      <c r="AV185" s="53"/>
      <c r="AW185" s="53"/>
      <c r="AX185" s="53"/>
      <c r="AY185" s="53"/>
      <c r="AZ185" s="53"/>
      <c r="BA185" s="53"/>
      <c r="BB185" s="53"/>
      <c r="BC185" s="53"/>
      <c r="BD185" s="53"/>
      <c r="BE185" s="53"/>
      <c r="BF185" s="53"/>
      <c r="BG185" s="53"/>
    </row>
    <row r="186" spans="1:59" ht="14.4" x14ac:dyDescent="0.3">
      <c r="A186" s="44">
        <v>177</v>
      </c>
      <c r="B186" s="45" t="s">
        <v>279</v>
      </c>
      <c r="C186" s="46" t="s">
        <v>280</v>
      </c>
      <c r="D186" s="47" t="s">
        <v>283</v>
      </c>
      <c r="E186" s="48">
        <v>46478</v>
      </c>
      <c r="F186" s="49">
        <v>478500</v>
      </c>
      <c r="G186" s="45" t="s">
        <v>40</v>
      </c>
      <c r="H186" s="50">
        <v>0</v>
      </c>
      <c r="I186" s="49">
        <f>tablet[[#This Row],[qtySaldoAwalSem1]]*tablet[[#This Row],[hargaSatuan]]</f>
        <v>0</v>
      </c>
      <c r="J186" s="50">
        <v>195</v>
      </c>
      <c r="K186" s="51">
        <f>tablet[[#This Row],[qtyTerima2025]]*tablet[[#This Row],[hargaSatuan]]</f>
        <v>93307500</v>
      </c>
      <c r="L186" s="50">
        <v>0</v>
      </c>
      <c r="M186" s="51">
        <f>tablet[[#This Row],[qtyDist2025]]*tablet[[#This Row],[hargaSatuan]]</f>
        <v>0</v>
      </c>
      <c r="N186" s="50">
        <v>0</v>
      </c>
      <c r="O186" s="51">
        <f>tablet[[#This Row],[qtyEd2025]]*tablet[[#This Row],[hargaSatuan]]</f>
        <v>0</v>
      </c>
      <c r="P186" s="50">
        <v>195</v>
      </c>
      <c r="Q186" s="52">
        <f>tablet[[#This Row],[qtySaldoAkhir2025]]*tablet[[#This Row],[hargaSatuan]]</f>
        <v>93307500</v>
      </c>
      <c r="R186" s="53"/>
      <c r="S186" s="32">
        <f t="shared" si="4"/>
        <v>93307500</v>
      </c>
      <c r="T186" s="32">
        <f t="shared" si="5"/>
        <v>0</v>
      </c>
      <c r="U186" s="53"/>
      <c r="V186" s="53"/>
      <c r="W186" s="53"/>
      <c r="X186" s="53"/>
      <c r="Y186" s="53"/>
      <c r="Z186" s="53"/>
      <c r="AA186" s="53"/>
      <c r="AB186" s="53"/>
      <c r="AC186" s="53"/>
      <c r="AD186" s="53"/>
      <c r="AE186" s="53"/>
      <c r="AF186" s="53"/>
      <c r="AG186" s="53"/>
      <c r="AH186" s="53"/>
      <c r="AI186" s="53"/>
      <c r="AJ186" s="53"/>
      <c r="AK186" s="53"/>
      <c r="AL186" s="53"/>
      <c r="AM186" s="53"/>
      <c r="AN186" s="53"/>
      <c r="AO186" s="53"/>
      <c r="AP186" s="53"/>
      <c r="AQ186" s="53"/>
      <c r="AR186" s="53"/>
      <c r="AS186" s="53"/>
      <c r="AT186" s="53"/>
      <c r="AU186" s="53"/>
      <c r="AV186" s="53"/>
      <c r="AW186" s="53"/>
      <c r="AX186" s="53"/>
      <c r="AY186" s="53"/>
      <c r="AZ186" s="53"/>
      <c r="BA186" s="53"/>
      <c r="BB186" s="53"/>
      <c r="BC186" s="53"/>
      <c r="BD186" s="53"/>
      <c r="BE186" s="53"/>
      <c r="BF186" s="53"/>
      <c r="BG186" s="53"/>
    </row>
    <row r="187" spans="1:59" ht="14.4" x14ac:dyDescent="0.3">
      <c r="A187" s="44">
        <v>178</v>
      </c>
      <c r="B187" s="45" t="s">
        <v>284</v>
      </c>
      <c r="C187" s="46" t="s">
        <v>280</v>
      </c>
      <c r="D187" s="47" t="s">
        <v>285</v>
      </c>
      <c r="E187" s="48">
        <v>45931</v>
      </c>
      <c r="F187" s="49">
        <v>548865</v>
      </c>
      <c r="G187" s="45" t="s">
        <v>40</v>
      </c>
      <c r="H187" s="50">
        <v>20</v>
      </c>
      <c r="I187" s="49">
        <f>tablet[[#This Row],[qtySaldoAwalSem1]]*tablet[[#This Row],[hargaSatuan]]</f>
        <v>10977300</v>
      </c>
      <c r="J187" s="50">
        <v>0</v>
      </c>
      <c r="K187" s="51">
        <f>tablet[[#This Row],[qtyTerima2025]]*tablet[[#This Row],[hargaSatuan]]</f>
        <v>0</v>
      </c>
      <c r="L187" s="50">
        <v>20</v>
      </c>
      <c r="M187" s="51">
        <f>tablet[[#This Row],[qtyDist2025]]*tablet[[#This Row],[hargaSatuan]]</f>
        <v>10977300</v>
      </c>
      <c r="N187" s="50">
        <v>0</v>
      </c>
      <c r="O187" s="51">
        <f>tablet[[#This Row],[qtyEd2025]]*tablet[[#This Row],[hargaSatuan]]</f>
        <v>0</v>
      </c>
      <c r="P187" s="50">
        <v>0</v>
      </c>
      <c r="Q187" s="52">
        <f>tablet[[#This Row],[qtySaldoAkhir2025]]*tablet[[#This Row],[hargaSatuan]]</f>
        <v>0</v>
      </c>
      <c r="R187" s="53"/>
      <c r="S187" s="32">
        <f t="shared" si="4"/>
        <v>0</v>
      </c>
      <c r="T187" s="32">
        <f t="shared" si="5"/>
        <v>0</v>
      </c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  <c r="AG187" s="53"/>
      <c r="AH187" s="53"/>
      <c r="AI187" s="53"/>
      <c r="AJ187" s="53"/>
      <c r="AK187" s="53"/>
      <c r="AL187" s="53"/>
      <c r="AM187" s="53"/>
      <c r="AN187" s="53"/>
      <c r="AO187" s="53"/>
      <c r="AP187" s="53"/>
      <c r="AQ187" s="53"/>
      <c r="AR187" s="53"/>
      <c r="AS187" s="53"/>
      <c r="AT187" s="53"/>
      <c r="AU187" s="53"/>
      <c r="AV187" s="53"/>
      <c r="AW187" s="53"/>
      <c r="AX187" s="53"/>
      <c r="AY187" s="53"/>
      <c r="AZ187" s="53"/>
      <c r="BA187" s="53"/>
      <c r="BB187" s="53"/>
      <c r="BC187" s="53"/>
      <c r="BD187" s="53"/>
      <c r="BE187" s="53"/>
      <c r="BF187" s="53"/>
      <c r="BG187" s="53"/>
    </row>
    <row r="188" spans="1:59" ht="14.4" x14ac:dyDescent="0.3">
      <c r="A188" s="44">
        <v>179</v>
      </c>
      <c r="B188" s="45" t="s">
        <v>284</v>
      </c>
      <c r="C188" s="46" t="s">
        <v>280</v>
      </c>
      <c r="D188" s="47" t="s">
        <v>286</v>
      </c>
      <c r="E188" s="48">
        <v>46357</v>
      </c>
      <c r="F188" s="49">
        <v>566100</v>
      </c>
      <c r="G188" s="45" t="s">
        <v>40</v>
      </c>
      <c r="H188" s="50">
        <v>0</v>
      </c>
      <c r="I188" s="49">
        <f>tablet[[#This Row],[qtySaldoAwalSem1]]*tablet[[#This Row],[hargaSatuan]]</f>
        <v>0</v>
      </c>
      <c r="J188" s="50">
        <v>113</v>
      </c>
      <c r="K188" s="51">
        <f>tablet[[#This Row],[qtyTerima2025]]*tablet[[#This Row],[hargaSatuan]]</f>
        <v>63969300</v>
      </c>
      <c r="L188" s="50">
        <v>0</v>
      </c>
      <c r="M188" s="51">
        <f>tablet[[#This Row],[qtyDist2025]]*tablet[[#This Row],[hargaSatuan]]</f>
        <v>0</v>
      </c>
      <c r="N188" s="50">
        <v>0</v>
      </c>
      <c r="O188" s="51">
        <f>tablet[[#This Row],[qtyEd2025]]*tablet[[#This Row],[hargaSatuan]]</f>
        <v>0</v>
      </c>
      <c r="P188" s="50">
        <v>113</v>
      </c>
      <c r="Q188" s="52">
        <f>tablet[[#This Row],[qtySaldoAkhir2025]]*tablet[[#This Row],[hargaSatuan]]</f>
        <v>63969300</v>
      </c>
      <c r="R188" s="53"/>
      <c r="S188" s="32">
        <f t="shared" si="4"/>
        <v>63969300</v>
      </c>
      <c r="T188" s="32">
        <f t="shared" si="5"/>
        <v>0</v>
      </c>
      <c r="U188" s="53"/>
      <c r="V188" s="53"/>
      <c r="W188" s="53"/>
      <c r="X188" s="53"/>
      <c r="Y188" s="53"/>
      <c r="Z188" s="53"/>
      <c r="AA188" s="53"/>
      <c r="AB188" s="53"/>
      <c r="AC188" s="53"/>
      <c r="AD188" s="53"/>
      <c r="AE188" s="53"/>
      <c r="AF188" s="53"/>
      <c r="AG188" s="53"/>
      <c r="AH188" s="53"/>
      <c r="AI188" s="53"/>
      <c r="AJ188" s="53"/>
      <c r="AK188" s="53"/>
      <c r="AL188" s="53"/>
      <c r="AM188" s="53"/>
      <c r="AN188" s="53"/>
      <c r="AO188" s="53"/>
      <c r="AP188" s="53"/>
      <c r="AQ188" s="53"/>
      <c r="AR188" s="53"/>
      <c r="AS188" s="53"/>
      <c r="AT188" s="53"/>
      <c r="AU188" s="53"/>
      <c r="AV188" s="53"/>
      <c r="AW188" s="53"/>
      <c r="AX188" s="53"/>
      <c r="AY188" s="53"/>
      <c r="AZ188" s="53"/>
      <c r="BA188" s="53"/>
      <c r="BB188" s="53"/>
      <c r="BC188" s="53"/>
      <c r="BD188" s="53"/>
      <c r="BE188" s="53"/>
      <c r="BF188" s="53"/>
      <c r="BG188" s="53"/>
    </row>
    <row r="189" spans="1:59" ht="14.4" x14ac:dyDescent="0.3">
      <c r="A189" s="44">
        <v>180</v>
      </c>
      <c r="B189" s="45" t="s">
        <v>284</v>
      </c>
      <c r="C189" s="46" t="s">
        <v>280</v>
      </c>
      <c r="D189" s="47" t="s">
        <v>287</v>
      </c>
      <c r="E189" s="48">
        <v>45839</v>
      </c>
      <c r="F189" s="49">
        <v>579975</v>
      </c>
      <c r="G189" s="45" t="s">
        <v>40</v>
      </c>
      <c r="H189" s="50">
        <v>83</v>
      </c>
      <c r="I189" s="49">
        <f>tablet[[#This Row],[qtySaldoAwalSem1]]*tablet[[#This Row],[hargaSatuan]]</f>
        <v>48137925</v>
      </c>
      <c r="J189" s="50">
        <v>0</v>
      </c>
      <c r="K189" s="51">
        <f>tablet[[#This Row],[qtyTerima2025]]*tablet[[#This Row],[hargaSatuan]]</f>
        <v>0</v>
      </c>
      <c r="L189" s="50">
        <v>70</v>
      </c>
      <c r="M189" s="51">
        <f>tablet[[#This Row],[qtyDist2025]]*tablet[[#This Row],[hargaSatuan]]</f>
        <v>40598250</v>
      </c>
      <c r="N189" s="50">
        <v>13</v>
      </c>
      <c r="O189" s="51">
        <f>tablet[[#This Row],[qtyEd2025]]*tablet[[#This Row],[hargaSatuan]]</f>
        <v>7539675</v>
      </c>
      <c r="P189" s="50">
        <v>0</v>
      </c>
      <c r="Q189" s="52">
        <f>tablet[[#This Row],[qtySaldoAkhir2025]]*tablet[[#This Row],[hargaSatuan]]</f>
        <v>0</v>
      </c>
      <c r="R189" s="53"/>
      <c r="S189" s="32">
        <f t="shared" si="4"/>
        <v>0</v>
      </c>
      <c r="T189" s="32">
        <f t="shared" si="5"/>
        <v>0</v>
      </c>
      <c r="U189" s="53"/>
      <c r="V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  <c r="AI189" s="53"/>
      <c r="AJ189" s="53"/>
      <c r="AK189" s="53"/>
      <c r="AL189" s="53"/>
      <c r="AM189" s="53"/>
      <c r="AN189" s="53"/>
      <c r="AO189" s="53"/>
      <c r="AP189" s="53"/>
      <c r="AQ189" s="53"/>
      <c r="AR189" s="53"/>
      <c r="AS189" s="53"/>
      <c r="AT189" s="53"/>
      <c r="AU189" s="53"/>
      <c r="AV189" s="53"/>
      <c r="AW189" s="53"/>
      <c r="AX189" s="53"/>
      <c r="AY189" s="53"/>
      <c r="AZ189" s="53"/>
      <c r="BA189" s="53"/>
      <c r="BB189" s="53"/>
      <c r="BC189" s="53"/>
      <c r="BD189" s="53"/>
      <c r="BE189" s="53"/>
      <c r="BF189" s="53"/>
      <c r="BG189" s="53"/>
    </row>
    <row r="190" spans="1:59" ht="14.4" x14ac:dyDescent="0.3">
      <c r="A190" s="44">
        <v>181</v>
      </c>
      <c r="B190" s="45" t="s">
        <v>284</v>
      </c>
      <c r="C190" s="46" t="s">
        <v>280</v>
      </c>
      <c r="D190" s="47" t="s">
        <v>288</v>
      </c>
      <c r="E190" s="48">
        <v>46113</v>
      </c>
      <c r="F190" s="49">
        <v>679320</v>
      </c>
      <c r="G190" s="45" t="s">
        <v>40</v>
      </c>
      <c r="H190" s="50">
        <v>400</v>
      </c>
      <c r="I190" s="49">
        <f>tablet[[#This Row],[qtySaldoAwalSem1]]*tablet[[#This Row],[hargaSatuan]]</f>
        <v>271728000</v>
      </c>
      <c r="J190" s="50">
        <v>0</v>
      </c>
      <c r="K190" s="51">
        <f>tablet[[#This Row],[qtyTerima2025]]*tablet[[#This Row],[hargaSatuan]]</f>
        <v>0</v>
      </c>
      <c r="L190" s="50">
        <v>400</v>
      </c>
      <c r="M190" s="51">
        <f>tablet[[#This Row],[qtyDist2025]]*tablet[[#This Row],[hargaSatuan]]</f>
        <v>271728000</v>
      </c>
      <c r="N190" s="50">
        <v>0</v>
      </c>
      <c r="O190" s="51">
        <f>tablet[[#This Row],[qtyEd2025]]*tablet[[#This Row],[hargaSatuan]]</f>
        <v>0</v>
      </c>
      <c r="P190" s="50">
        <v>0</v>
      </c>
      <c r="Q190" s="52">
        <f>tablet[[#This Row],[qtySaldoAkhir2025]]*tablet[[#This Row],[hargaSatuan]]</f>
        <v>0</v>
      </c>
      <c r="R190" s="53"/>
      <c r="S190" s="32">
        <f t="shared" si="4"/>
        <v>0</v>
      </c>
      <c r="T190" s="32">
        <f t="shared" si="5"/>
        <v>0</v>
      </c>
      <c r="U190" s="53"/>
      <c r="V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53"/>
      <c r="AI190" s="53"/>
      <c r="AJ190" s="53"/>
      <c r="AK190" s="53"/>
      <c r="AL190" s="53"/>
      <c r="AM190" s="53"/>
      <c r="AN190" s="53"/>
      <c r="AO190" s="53"/>
      <c r="AP190" s="53"/>
      <c r="AQ190" s="53"/>
      <c r="AR190" s="53"/>
      <c r="AS190" s="53"/>
      <c r="AT190" s="53"/>
      <c r="AU190" s="53"/>
      <c r="AV190" s="53"/>
      <c r="AW190" s="53"/>
      <c r="AX190" s="53"/>
      <c r="AY190" s="53"/>
      <c r="AZ190" s="53"/>
      <c r="BA190" s="53"/>
      <c r="BB190" s="53"/>
      <c r="BC190" s="53"/>
      <c r="BD190" s="53"/>
      <c r="BE190" s="53"/>
      <c r="BF190" s="53"/>
      <c r="BG190" s="53"/>
    </row>
    <row r="191" spans="1:59" ht="14.4" x14ac:dyDescent="0.3">
      <c r="A191" s="44">
        <v>182</v>
      </c>
      <c r="B191" s="45" t="s">
        <v>284</v>
      </c>
      <c r="C191" s="46" t="s">
        <v>280</v>
      </c>
      <c r="D191" s="47" t="s">
        <v>289</v>
      </c>
      <c r="E191" s="48">
        <v>46295</v>
      </c>
      <c r="F191" s="49">
        <v>679320</v>
      </c>
      <c r="G191" s="45" t="s">
        <v>40</v>
      </c>
      <c r="H191" s="50">
        <v>0</v>
      </c>
      <c r="I191" s="49">
        <f>tablet[[#This Row],[qtySaldoAwalSem1]]*tablet[[#This Row],[hargaSatuan]]</f>
        <v>0</v>
      </c>
      <c r="J191" s="50">
        <v>408</v>
      </c>
      <c r="K191" s="51">
        <f>tablet[[#This Row],[qtyTerima2025]]*tablet[[#This Row],[hargaSatuan]]</f>
        <v>277162560</v>
      </c>
      <c r="L191" s="50">
        <v>312</v>
      </c>
      <c r="M191" s="51">
        <f>tablet[[#This Row],[qtyDist2025]]*tablet[[#This Row],[hargaSatuan]]</f>
        <v>211947840</v>
      </c>
      <c r="N191" s="50">
        <v>0</v>
      </c>
      <c r="O191" s="51">
        <f>tablet[[#This Row],[qtyEd2025]]*tablet[[#This Row],[hargaSatuan]]</f>
        <v>0</v>
      </c>
      <c r="P191" s="50">
        <v>96</v>
      </c>
      <c r="Q191" s="52">
        <f>tablet[[#This Row],[qtySaldoAkhir2025]]*tablet[[#This Row],[hargaSatuan]]</f>
        <v>65214720</v>
      </c>
      <c r="R191" s="53"/>
      <c r="S191" s="32">
        <f t="shared" si="4"/>
        <v>65214720</v>
      </c>
      <c r="T191" s="32">
        <f t="shared" si="5"/>
        <v>0</v>
      </c>
      <c r="U191" s="53"/>
      <c r="V191" s="53"/>
      <c r="X191" s="53"/>
      <c r="Y191" s="53"/>
      <c r="Z191" s="53"/>
      <c r="AA191" s="53"/>
      <c r="AB191" s="53"/>
      <c r="AC191" s="53"/>
      <c r="AD191" s="53"/>
      <c r="AE191" s="53"/>
      <c r="AF191" s="53"/>
      <c r="AG191" s="53"/>
      <c r="AH191" s="53"/>
      <c r="AI191" s="53"/>
      <c r="AJ191" s="53"/>
      <c r="AK191" s="53"/>
      <c r="AL191" s="53"/>
      <c r="AM191" s="53"/>
      <c r="AN191" s="53"/>
      <c r="AO191" s="53"/>
      <c r="AP191" s="53"/>
      <c r="AQ191" s="53"/>
      <c r="AR191" s="53"/>
      <c r="AS191" s="53"/>
      <c r="AT191" s="53"/>
      <c r="AU191" s="53"/>
      <c r="AV191" s="53"/>
      <c r="AW191" s="53"/>
      <c r="AX191" s="53"/>
      <c r="AY191" s="53"/>
      <c r="AZ191" s="53"/>
      <c r="BA191" s="53"/>
      <c r="BB191" s="53"/>
      <c r="BC191" s="53"/>
      <c r="BD191" s="53"/>
      <c r="BE191" s="53"/>
      <c r="BF191" s="53"/>
      <c r="BG191" s="53"/>
    </row>
    <row r="192" spans="1:59" ht="14.4" x14ac:dyDescent="0.3">
      <c r="A192" s="44">
        <v>183</v>
      </c>
      <c r="B192" s="45" t="s">
        <v>284</v>
      </c>
      <c r="C192" s="46" t="s">
        <v>280</v>
      </c>
      <c r="D192" s="47" t="s">
        <v>290</v>
      </c>
      <c r="E192" s="48">
        <v>46419</v>
      </c>
      <c r="F192" s="49">
        <v>796739</v>
      </c>
      <c r="G192" s="45" t="s">
        <v>40</v>
      </c>
      <c r="H192" s="50">
        <v>0</v>
      </c>
      <c r="I192" s="49">
        <f>tablet[[#This Row],[qtySaldoAwalSem1]]*tablet[[#This Row],[hargaSatuan]]</f>
        <v>0</v>
      </c>
      <c r="J192" s="50">
        <v>213</v>
      </c>
      <c r="K192" s="51">
        <f>tablet[[#This Row],[qtyTerima2025]]*tablet[[#This Row],[hargaSatuan]]</f>
        <v>169705407</v>
      </c>
      <c r="L192" s="50">
        <v>0</v>
      </c>
      <c r="M192" s="51">
        <f>tablet[[#This Row],[qtyDist2025]]*tablet[[#This Row],[hargaSatuan]]</f>
        <v>0</v>
      </c>
      <c r="N192" s="50">
        <v>0</v>
      </c>
      <c r="O192" s="51">
        <f>tablet[[#This Row],[qtyEd2025]]*tablet[[#This Row],[hargaSatuan]]</f>
        <v>0</v>
      </c>
      <c r="P192" s="50">
        <v>213</v>
      </c>
      <c r="Q192" s="52">
        <f>tablet[[#This Row],[qtySaldoAkhir2025]]*tablet[[#This Row],[hargaSatuan]]</f>
        <v>169705407</v>
      </c>
      <c r="R192" s="53"/>
      <c r="S192" s="32">
        <f t="shared" si="4"/>
        <v>169705407</v>
      </c>
      <c r="T192" s="32">
        <f t="shared" si="5"/>
        <v>0</v>
      </c>
      <c r="U192" s="53"/>
      <c r="V192" s="53"/>
      <c r="X192" s="53"/>
      <c r="Y192" s="53"/>
      <c r="Z192" s="53"/>
      <c r="AA192" s="53"/>
      <c r="AB192" s="53"/>
      <c r="AC192" s="53"/>
      <c r="AD192" s="53"/>
      <c r="AE192" s="53"/>
      <c r="AF192" s="53"/>
      <c r="AG192" s="53"/>
      <c r="AH192" s="53"/>
      <c r="AI192" s="53"/>
      <c r="AJ192" s="53"/>
      <c r="AK192" s="53"/>
      <c r="AL192" s="53"/>
      <c r="AM192" s="53"/>
      <c r="AN192" s="53"/>
      <c r="AO192" s="53"/>
      <c r="AP192" s="53"/>
      <c r="AQ192" s="53"/>
      <c r="AR192" s="53"/>
      <c r="AS192" s="53"/>
      <c r="AT192" s="53"/>
      <c r="AU192" s="53"/>
      <c r="AV192" s="53"/>
      <c r="AW192" s="53"/>
      <c r="AX192" s="53"/>
      <c r="AY192" s="53"/>
      <c r="AZ192" s="53"/>
      <c r="BA192" s="53"/>
      <c r="BB192" s="53"/>
      <c r="BC192" s="53"/>
      <c r="BD192" s="53"/>
      <c r="BE192" s="53"/>
      <c r="BF192" s="53"/>
      <c r="BG192" s="53"/>
    </row>
    <row r="193" spans="1:59" ht="14.4" x14ac:dyDescent="0.3">
      <c r="A193" s="44">
        <v>184</v>
      </c>
      <c r="B193" s="45" t="s">
        <v>291</v>
      </c>
      <c r="C193" s="46" t="s">
        <v>292</v>
      </c>
      <c r="D193" s="47" t="s">
        <v>293</v>
      </c>
      <c r="E193" s="48">
        <v>46419</v>
      </c>
      <c r="F193" s="49">
        <v>796739</v>
      </c>
      <c r="G193" s="45" t="s">
        <v>40</v>
      </c>
      <c r="H193" s="50">
        <v>0</v>
      </c>
      <c r="I193" s="49">
        <f>tablet[[#This Row],[qtySaldoAwalSem1]]*tablet[[#This Row],[hargaSatuan]]</f>
        <v>0</v>
      </c>
      <c r="J193" s="50">
        <v>126</v>
      </c>
      <c r="K193" s="51">
        <f>tablet[[#This Row],[qtyTerima2025]]*tablet[[#This Row],[hargaSatuan]]</f>
        <v>100389114</v>
      </c>
      <c r="L193" s="50">
        <v>0</v>
      </c>
      <c r="M193" s="51">
        <f>tablet[[#This Row],[qtyDist2025]]*tablet[[#This Row],[hargaSatuan]]</f>
        <v>0</v>
      </c>
      <c r="N193" s="50">
        <v>0</v>
      </c>
      <c r="O193" s="51">
        <f>tablet[[#This Row],[qtyEd2025]]*tablet[[#This Row],[hargaSatuan]]</f>
        <v>0</v>
      </c>
      <c r="P193" s="50">
        <v>126</v>
      </c>
      <c r="Q193" s="52">
        <f>tablet[[#This Row],[qtySaldoAkhir2025]]*tablet[[#This Row],[hargaSatuan]]</f>
        <v>100389114</v>
      </c>
      <c r="S193" s="32">
        <f t="shared" si="4"/>
        <v>100389114</v>
      </c>
      <c r="T193" s="32">
        <f t="shared" si="5"/>
        <v>0</v>
      </c>
    </row>
    <row r="194" spans="1:59" ht="14.4" x14ac:dyDescent="0.3">
      <c r="A194" s="44">
        <v>185</v>
      </c>
      <c r="B194" s="45" t="s">
        <v>294</v>
      </c>
      <c r="C194" s="46" t="s">
        <v>52</v>
      </c>
      <c r="D194" s="47" t="s">
        <v>295</v>
      </c>
      <c r="E194" s="48">
        <v>46966</v>
      </c>
      <c r="F194" s="49">
        <v>650</v>
      </c>
      <c r="G194" s="45" t="s">
        <v>17</v>
      </c>
      <c r="H194" s="50">
        <v>28000</v>
      </c>
      <c r="I194" s="49">
        <f>tablet[[#This Row],[qtySaldoAwalSem1]]*tablet[[#This Row],[hargaSatuan]]</f>
        <v>18200000</v>
      </c>
      <c r="J194" s="50">
        <v>0</v>
      </c>
      <c r="K194" s="51">
        <f>tablet[[#This Row],[qtyTerima2025]]*tablet[[#This Row],[hargaSatuan]]</f>
        <v>0</v>
      </c>
      <c r="L194" s="50">
        <v>28000</v>
      </c>
      <c r="M194" s="51">
        <f>tablet[[#This Row],[qtyDist2025]]*tablet[[#This Row],[hargaSatuan]]</f>
        <v>18200000</v>
      </c>
      <c r="N194" s="50">
        <v>0</v>
      </c>
      <c r="O194" s="51">
        <f>tablet[[#This Row],[qtyEd2025]]*tablet[[#This Row],[hargaSatuan]]</f>
        <v>0</v>
      </c>
      <c r="P194" s="50">
        <v>0</v>
      </c>
      <c r="Q194" s="52">
        <f>tablet[[#This Row],[qtySaldoAkhir2025]]*tablet[[#This Row],[hargaSatuan]]</f>
        <v>0</v>
      </c>
      <c r="S194" s="32">
        <f t="shared" si="4"/>
        <v>0</v>
      </c>
      <c r="T194" s="32">
        <f t="shared" si="5"/>
        <v>0</v>
      </c>
    </row>
    <row r="195" spans="1:59" ht="14.4" x14ac:dyDescent="0.3">
      <c r="A195" s="44">
        <v>186</v>
      </c>
      <c r="B195" s="45" t="s">
        <v>296</v>
      </c>
      <c r="C195" s="46" t="s">
        <v>52</v>
      </c>
      <c r="D195" s="47" t="s">
        <v>297</v>
      </c>
      <c r="E195" s="48">
        <v>46966</v>
      </c>
      <c r="F195" s="49">
        <v>899.09879999999998</v>
      </c>
      <c r="G195" s="45" t="s">
        <v>17</v>
      </c>
      <c r="H195" s="50">
        <v>23400</v>
      </c>
      <c r="I195" s="49">
        <f>tablet[[#This Row],[qtySaldoAwalSem1]]*tablet[[#This Row],[hargaSatuan]]</f>
        <v>21038911.919999998</v>
      </c>
      <c r="J195" s="50">
        <v>0</v>
      </c>
      <c r="K195" s="51">
        <f>tablet[[#This Row],[qtyTerima2025]]*tablet[[#This Row],[hargaSatuan]]</f>
        <v>0</v>
      </c>
      <c r="L195" s="50">
        <v>23400</v>
      </c>
      <c r="M195" s="51">
        <f>tablet[[#This Row],[qtyDist2025]]*tablet[[#This Row],[hargaSatuan]]</f>
        <v>21038911.919999998</v>
      </c>
      <c r="N195" s="50">
        <v>0</v>
      </c>
      <c r="O195" s="51">
        <f>tablet[[#This Row],[qtyEd2025]]*tablet[[#This Row],[hargaSatuan]]</f>
        <v>0</v>
      </c>
      <c r="P195" s="50">
        <v>0</v>
      </c>
      <c r="Q195" s="52">
        <f>tablet[[#This Row],[qtySaldoAkhir2025]]*tablet[[#This Row],[hargaSatuan]]</f>
        <v>0</v>
      </c>
      <c r="S195" s="32">
        <f t="shared" si="4"/>
        <v>0</v>
      </c>
      <c r="T195" s="32">
        <f t="shared" si="5"/>
        <v>0</v>
      </c>
    </row>
    <row r="196" spans="1:59" ht="14.4" x14ac:dyDescent="0.3">
      <c r="A196" s="44">
        <v>187</v>
      </c>
      <c r="B196" s="45" t="s">
        <v>298</v>
      </c>
      <c r="C196" s="46" t="s">
        <v>52</v>
      </c>
      <c r="D196" s="47" t="s">
        <v>299</v>
      </c>
      <c r="E196" s="48">
        <v>46997</v>
      </c>
      <c r="F196" s="49">
        <v>265</v>
      </c>
      <c r="G196" s="45" t="s">
        <v>43</v>
      </c>
      <c r="H196" s="50">
        <v>16100</v>
      </c>
      <c r="I196" s="49">
        <f>tablet[[#This Row],[qtySaldoAwalSem1]]*tablet[[#This Row],[hargaSatuan]]</f>
        <v>4266500</v>
      </c>
      <c r="J196" s="50">
        <v>0</v>
      </c>
      <c r="K196" s="51">
        <f>tablet[[#This Row],[qtyTerima2025]]*tablet[[#This Row],[hargaSatuan]]</f>
        <v>0</v>
      </c>
      <c r="L196" s="50">
        <v>14920</v>
      </c>
      <c r="M196" s="51">
        <f>tablet[[#This Row],[qtyDist2025]]*tablet[[#This Row],[hargaSatuan]]</f>
        <v>3953800</v>
      </c>
      <c r="N196" s="50">
        <v>0</v>
      </c>
      <c r="O196" s="51">
        <f>tablet[[#This Row],[qtyEd2025]]*tablet[[#This Row],[hargaSatuan]]</f>
        <v>0</v>
      </c>
      <c r="P196" s="50">
        <v>1180</v>
      </c>
      <c r="Q196" s="52">
        <f>tablet[[#This Row],[qtySaldoAkhir2025]]*tablet[[#This Row],[hargaSatuan]]</f>
        <v>312700</v>
      </c>
      <c r="S196" s="32">
        <f t="shared" si="4"/>
        <v>312700</v>
      </c>
      <c r="T196" s="32">
        <f t="shared" si="5"/>
        <v>0</v>
      </c>
    </row>
    <row r="197" spans="1:59" ht="14.4" x14ac:dyDescent="0.3">
      <c r="A197" s="44">
        <v>188</v>
      </c>
      <c r="B197" s="45" t="s">
        <v>298</v>
      </c>
      <c r="C197" s="46" t="s">
        <v>52</v>
      </c>
      <c r="D197" s="47" t="s">
        <v>300</v>
      </c>
      <c r="E197" s="48">
        <v>46722</v>
      </c>
      <c r="F197" s="49">
        <v>900</v>
      </c>
      <c r="G197" s="45" t="s">
        <v>54</v>
      </c>
      <c r="H197" s="50">
        <v>3300</v>
      </c>
      <c r="I197" s="49">
        <f>tablet[[#This Row],[qtySaldoAwalSem1]]*tablet[[#This Row],[hargaSatuan]]</f>
        <v>2970000</v>
      </c>
      <c r="J197" s="50">
        <v>0</v>
      </c>
      <c r="K197" s="51">
        <f>tablet[[#This Row],[qtyTerima2025]]*tablet[[#This Row],[hargaSatuan]]</f>
        <v>0</v>
      </c>
      <c r="L197" s="50">
        <v>3300</v>
      </c>
      <c r="M197" s="51">
        <f>tablet[[#This Row],[qtyDist2025]]*tablet[[#This Row],[hargaSatuan]]</f>
        <v>2970000</v>
      </c>
      <c r="N197" s="50">
        <v>0</v>
      </c>
      <c r="O197" s="51">
        <f>tablet[[#This Row],[qtyEd2025]]*tablet[[#This Row],[hargaSatuan]]</f>
        <v>0</v>
      </c>
      <c r="P197" s="50">
        <v>0</v>
      </c>
      <c r="Q197" s="52">
        <f>tablet[[#This Row],[qtySaldoAkhir2025]]*tablet[[#This Row],[hargaSatuan]]</f>
        <v>0</v>
      </c>
      <c r="S197" s="32">
        <f t="shared" si="4"/>
        <v>0</v>
      </c>
      <c r="T197" s="32">
        <f t="shared" si="5"/>
        <v>0</v>
      </c>
    </row>
    <row r="198" spans="1:59" ht="14.4" x14ac:dyDescent="0.3">
      <c r="A198" s="44">
        <v>189</v>
      </c>
      <c r="B198" s="45" t="s">
        <v>301</v>
      </c>
      <c r="C198" s="46" t="s">
        <v>52</v>
      </c>
      <c r="D198" s="47" t="s">
        <v>302</v>
      </c>
      <c r="E198" s="48">
        <v>46447</v>
      </c>
      <c r="F198" s="49">
        <v>103</v>
      </c>
      <c r="G198" s="45" t="s">
        <v>54</v>
      </c>
      <c r="H198" s="50">
        <v>301200</v>
      </c>
      <c r="I198" s="49">
        <f>tablet[[#This Row],[qtySaldoAwalSem1]]*tablet[[#This Row],[hargaSatuan]]</f>
        <v>31023600</v>
      </c>
      <c r="J198" s="50">
        <v>0</v>
      </c>
      <c r="K198" s="51">
        <f>tablet[[#This Row],[qtyTerima2025]]*tablet[[#This Row],[hargaSatuan]]</f>
        <v>0</v>
      </c>
      <c r="L198" s="50">
        <v>191900</v>
      </c>
      <c r="M198" s="51">
        <f>tablet[[#This Row],[qtyDist2025]]*tablet[[#This Row],[hargaSatuan]]</f>
        <v>19765700</v>
      </c>
      <c r="N198" s="50">
        <v>0</v>
      </c>
      <c r="O198" s="51">
        <f>tablet[[#This Row],[qtyEd2025]]*tablet[[#This Row],[hargaSatuan]]</f>
        <v>0</v>
      </c>
      <c r="P198" s="50">
        <v>109300</v>
      </c>
      <c r="Q198" s="52">
        <f>tablet[[#This Row],[qtySaldoAkhir2025]]*tablet[[#This Row],[hargaSatuan]]</f>
        <v>11257900</v>
      </c>
      <c r="S198" s="32">
        <f t="shared" si="4"/>
        <v>11257900</v>
      </c>
      <c r="T198" s="32">
        <f t="shared" si="5"/>
        <v>0</v>
      </c>
    </row>
    <row r="199" spans="1:59" ht="14.4" x14ac:dyDescent="0.3">
      <c r="A199" s="44">
        <v>190</v>
      </c>
      <c r="B199" s="45" t="s">
        <v>301</v>
      </c>
      <c r="C199" s="46" t="s">
        <v>52</v>
      </c>
      <c r="D199" s="47" t="s">
        <v>303</v>
      </c>
      <c r="E199" s="48">
        <v>46266</v>
      </c>
      <c r="F199" s="49">
        <v>103</v>
      </c>
      <c r="G199" s="45" t="s">
        <v>17</v>
      </c>
      <c r="H199" s="50">
        <v>149000</v>
      </c>
      <c r="I199" s="49">
        <f>tablet[[#This Row],[qtySaldoAwalSem1]]*tablet[[#This Row],[hargaSatuan]]</f>
        <v>15347000</v>
      </c>
      <c r="J199" s="50">
        <v>0</v>
      </c>
      <c r="K199" s="51">
        <f>tablet[[#This Row],[qtyTerima2025]]*tablet[[#This Row],[hargaSatuan]]</f>
        <v>0</v>
      </c>
      <c r="L199" s="50">
        <v>149000</v>
      </c>
      <c r="M199" s="51">
        <f>tablet[[#This Row],[qtyDist2025]]*tablet[[#This Row],[hargaSatuan]]</f>
        <v>15347000</v>
      </c>
      <c r="N199" s="50">
        <v>0</v>
      </c>
      <c r="O199" s="51">
        <f>tablet[[#This Row],[qtyEd2025]]*tablet[[#This Row],[hargaSatuan]]</f>
        <v>0</v>
      </c>
      <c r="P199" s="50">
        <v>0</v>
      </c>
      <c r="Q199" s="52">
        <f>tablet[[#This Row],[qtySaldoAkhir2025]]*tablet[[#This Row],[hargaSatuan]]</f>
        <v>0</v>
      </c>
      <c r="S199" s="32">
        <f t="shared" si="4"/>
        <v>0</v>
      </c>
      <c r="T199" s="32">
        <f t="shared" si="5"/>
        <v>0</v>
      </c>
    </row>
    <row r="200" spans="1:59" ht="14.4" x14ac:dyDescent="0.3">
      <c r="A200" s="44">
        <v>191</v>
      </c>
      <c r="B200" s="45" t="s">
        <v>301</v>
      </c>
      <c r="C200" s="46" t="s">
        <v>52</v>
      </c>
      <c r="D200" s="47" t="s">
        <v>304</v>
      </c>
      <c r="E200" s="48">
        <v>46266</v>
      </c>
      <c r="F200" s="49">
        <v>103</v>
      </c>
      <c r="G200" s="45" t="s">
        <v>17</v>
      </c>
      <c r="H200" s="50">
        <v>90000</v>
      </c>
      <c r="I200" s="49">
        <f>tablet[[#This Row],[qtySaldoAwalSem1]]*tablet[[#This Row],[hargaSatuan]]</f>
        <v>9270000</v>
      </c>
      <c r="J200" s="50">
        <v>0</v>
      </c>
      <c r="K200" s="51">
        <f>tablet[[#This Row],[qtyTerima2025]]*tablet[[#This Row],[hargaSatuan]]</f>
        <v>0</v>
      </c>
      <c r="L200" s="50">
        <v>90000</v>
      </c>
      <c r="M200" s="51">
        <f>tablet[[#This Row],[qtyDist2025]]*tablet[[#This Row],[hargaSatuan]]</f>
        <v>9270000</v>
      </c>
      <c r="N200" s="50">
        <v>0</v>
      </c>
      <c r="O200" s="51">
        <f>tablet[[#This Row],[qtyEd2025]]*tablet[[#This Row],[hargaSatuan]]</f>
        <v>0</v>
      </c>
      <c r="P200" s="50">
        <v>0</v>
      </c>
      <c r="Q200" s="52">
        <f>tablet[[#This Row],[qtySaldoAkhir2025]]*tablet[[#This Row],[hargaSatuan]]</f>
        <v>0</v>
      </c>
      <c r="S200" s="32">
        <f t="shared" ref="S200:S263" si="6">IFERROR(I200+K200-(M200+O200),0)</f>
        <v>0</v>
      </c>
      <c r="T200" s="32">
        <f t="shared" ref="T200:T263" si="7">IFERROR(Q200-S200,0)</f>
        <v>0</v>
      </c>
    </row>
    <row r="201" spans="1:59" ht="14.4" x14ac:dyDescent="0.3">
      <c r="A201" s="44">
        <v>192</v>
      </c>
      <c r="B201" s="45" t="s">
        <v>301</v>
      </c>
      <c r="C201" s="46" t="s">
        <v>52</v>
      </c>
      <c r="D201" s="47" t="s">
        <v>305</v>
      </c>
      <c r="E201" s="48">
        <v>46266</v>
      </c>
      <c r="F201" s="49">
        <v>103</v>
      </c>
      <c r="G201" s="45" t="s">
        <v>17</v>
      </c>
      <c r="H201" s="50">
        <v>41400</v>
      </c>
      <c r="I201" s="49">
        <f>tablet[[#This Row],[qtySaldoAwalSem1]]*tablet[[#This Row],[hargaSatuan]]</f>
        <v>4264200</v>
      </c>
      <c r="J201" s="50">
        <v>0</v>
      </c>
      <c r="K201" s="51">
        <f>tablet[[#This Row],[qtyTerima2025]]*tablet[[#This Row],[hargaSatuan]]</f>
        <v>0</v>
      </c>
      <c r="L201" s="50">
        <v>41400</v>
      </c>
      <c r="M201" s="51">
        <f>tablet[[#This Row],[qtyDist2025]]*tablet[[#This Row],[hargaSatuan]]</f>
        <v>4264200</v>
      </c>
      <c r="N201" s="50">
        <v>0</v>
      </c>
      <c r="O201" s="51">
        <f>tablet[[#This Row],[qtyEd2025]]*tablet[[#This Row],[hargaSatuan]]</f>
        <v>0</v>
      </c>
      <c r="P201" s="50">
        <v>0</v>
      </c>
      <c r="Q201" s="52">
        <f>tablet[[#This Row],[qtySaldoAkhir2025]]*tablet[[#This Row],[hargaSatuan]]</f>
        <v>0</v>
      </c>
      <c r="S201" s="32">
        <f t="shared" si="6"/>
        <v>0</v>
      </c>
      <c r="T201" s="32">
        <f t="shared" si="7"/>
        <v>0</v>
      </c>
    </row>
    <row r="202" spans="1:59" ht="14.4" x14ac:dyDescent="0.3">
      <c r="A202" s="44">
        <v>193</v>
      </c>
      <c r="B202" s="45" t="s">
        <v>301</v>
      </c>
      <c r="C202" s="46" t="s">
        <v>52</v>
      </c>
      <c r="D202" s="47" t="s">
        <v>306</v>
      </c>
      <c r="E202" s="48">
        <v>46508</v>
      </c>
      <c r="F202" s="49">
        <v>103</v>
      </c>
      <c r="G202" s="45" t="s">
        <v>18</v>
      </c>
      <c r="H202" s="50">
        <v>0</v>
      </c>
      <c r="I202" s="49">
        <f>tablet[[#This Row],[qtySaldoAwalSem1]]*tablet[[#This Row],[hargaSatuan]]</f>
        <v>0</v>
      </c>
      <c r="J202" s="50">
        <v>31000</v>
      </c>
      <c r="K202" s="51">
        <f>tablet[[#This Row],[qtyTerima2025]]*tablet[[#This Row],[hargaSatuan]]</f>
        <v>3193000</v>
      </c>
      <c r="L202" s="50">
        <v>5000</v>
      </c>
      <c r="M202" s="51">
        <f>tablet[[#This Row],[qtyDist2025]]*tablet[[#This Row],[hargaSatuan]]</f>
        <v>515000</v>
      </c>
      <c r="N202" s="50">
        <v>0</v>
      </c>
      <c r="O202" s="51">
        <f>tablet[[#This Row],[qtyEd2025]]*tablet[[#This Row],[hargaSatuan]]</f>
        <v>0</v>
      </c>
      <c r="P202" s="50">
        <v>26000</v>
      </c>
      <c r="Q202" s="52">
        <f>tablet[[#This Row],[qtySaldoAkhir2025]]*tablet[[#This Row],[hargaSatuan]]</f>
        <v>2678000</v>
      </c>
      <c r="S202" s="32">
        <f t="shared" si="6"/>
        <v>2678000</v>
      </c>
      <c r="T202" s="32">
        <f t="shared" si="7"/>
        <v>0</v>
      </c>
    </row>
    <row r="203" spans="1:59" ht="14.4" x14ac:dyDescent="0.3">
      <c r="A203" s="44">
        <v>194</v>
      </c>
      <c r="B203" s="45" t="s">
        <v>301</v>
      </c>
      <c r="C203" s="46" t="s">
        <v>52</v>
      </c>
      <c r="D203" s="47" t="s">
        <v>307</v>
      </c>
      <c r="E203" s="48">
        <v>46661</v>
      </c>
      <c r="F203" s="49">
        <v>103.23</v>
      </c>
      <c r="G203" s="45" t="s">
        <v>18</v>
      </c>
      <c r="H203" s="50">
        <v>0</v>
      </c>
      <c r="I203" s="49">
        <f>tablet[[#This Row],[qtySaldoAwalSem1]]*tablet[[#This Row],[hargaSatuan]]</f>
        <v>0</v>
      </c>
      <c r="J203" s="50">
        <v>54500</v>
      </c>
      <c r="K203" s="51">
        <f>tablet[[#This Row],[qtyTerima2025]]*tablet[[#This Row],[hargaSatuan]]</f>
        <v>5626035</v>
      </c>
      <c r="L203" s="50">
        <v>0</v>
      </c>
      <c r="M203" s="51">
        <f>tablet[[#This Row],[qtyDist2025]]*tablet[[#This Row],[hargaSatuan]]</f>
        <v>0</v>
      </c>
      <c r="N203" s="50">
        <v>0</v>
      </c>
      <c r="O203" s="51">
        <f>tablet[[#This Row],[qtyEd2025]]*tablet[[#This Row],[hargaSatuan]]</f>
        <v>0</v>
      </c>
      <c r="P203" s="50">
        <v>54500</v>
      </c>
      <c r="Q203" s="52">
        <f>tablet[[#This Row],[qtySaldoAkhir2025]]*tablet[[#This Row],[hargaSatuan]]</f>
        <v>5626035</v>
      </c>
      <c r="S203" s="32">
        <f t="shared" si="6"/>
        <v>5626035</v>
      </c>
      <c r="T203" s="32">
        <f t="shared" si="7"/>
        <v>0</v>
      </c>
      <c r="W203" s="53"/>
    </row>
    <row r="204" spans="1:59" ht="14.4" x14ac:dyDescent="0.3">
      <c r="A204" s="44">
        <v>195</v>
      </c>
      <c r="B204" s="45" t="s">
        <v>308</v>
      </c>
      <c r="C204" s="46" t="s">
        <v>52</v>
      </c>
      <c r="D204" s="47">
        <v>120804700</v>
      </c>
      <c r="E204" s="48">
        <v>45870</v>
      </c>
      <c r="F204" s="49">
        <v>513</v>
      </c>
      <c r="G204" s="45" t="s">
        <v>43</v>
      </c>
      <c r="H204" s="50">
        <v>9400</v>
      </c>
      <c r="I204" s="49">
        <f>tablet[[#This Row],[qtySaldoAwalSem1]]*tablet[[#This Row],[hargaSatuan]]</f>
        <v>4822200</v>
      </c>
      <c r="J204" s="50">
        <v>0</v>
      </c>
      <c r="K204" s="51">
        <f>tablet[[#This Row],[qtyTerima2025]]*tablet[[#This Row],[hargaSatuan]]</f>
        <v>0</v>
      </c>
      <c r="L204" s="50">
        <v>0</v>
      </c>
      <c r="M204" s="51">
        <f>tablet[[#This Row],[qtyDist2025]]*tablet[[#This Row],[hargaSatuan]]</f>
        <v>0</v>
      </c>
      <c r="N204" s="50">
        <v>9400</v>
      </c>
      <c r="O204" s="51">
        <f>tablet[[#This Row],[qtyEd2025]]*tablet[[#This Row],[hargaSatuan]]</f>
        <v>4822200</v>
      </c>
      <c r="P204" s="50">
        <v>0</v>
      </c>
      <c r="Q204" s="52">
        <f>tablet[[#This Row],[qtySaldoAkhir2025]]*tablet[[#This Row],[hargaSatuan]]</f>
        <v>0</v>
      </c>
      <c r="S204" s="32">
        <f t="shared" si="6"/>
        <v>0</v>
      </c>
      <c r="T204" s="32">
        <f t="shared" si="7"/>
        <v>0</v>
      </c>
      <c r="W204" s="53"/>
    </row>
    <row r="205" spans="1:59" ht="14.4" x14ac:dyDescent="0.3">
      <c r="A205" s="44">
        <v>196</v>
      </c>
      <c r="B205" s="45" t="s">
        <v>309</v>
      </c>
      <c r="C205" s="46" t="s">
        <v>52</v>
      </c>
      <c r="D205" s="47" t="s">
        <v>310</v>
      </c>
      <c r="E205" s="48">
        <v>47027</v>
      </c>
      <c r="F205" s="49">
        <v>300</v>
      </c>
      <c r="G205" s="45" t="s">
        <v>17</v>
      </c>
      <c r="H205" s="50">
        <v>23700</v>
      </c>
      <c r="I205" s="49">
        <f>tablet[[#This Row],[qtySaldoAwalSem1]]*tablet[[#This Row],[hargaSatuan]]</f>
        <v>7110000</v>
      </c>
      <c r="J205" s="50">
        <v>0</v>
      </c>
      <c r="K205" s="51">
        <f>tablet[[#This Row],[qtyTerima2025]]*tablet[[#This Row],[hargaSatuan]]</f>
        <v>0</v>
      </c>
      <c r="L205" s="50">
        <v>23700</v>
      </c>
      <c r="M205" s="51">
        <f>tablet[[#This Row],[qtyDist2025]]*tablet[[#This Row],[hargaSatuan]]</f>
        <v>7110000</v>
      </c>
      <c r="N205" s="50">
        <v>0</v>
      </c>
      <c r="O205" s="51">
        <f>tablet[[#This Row],[qtyEd2025]]*tablet[[#This Row],[hargaSatuan]]</f>
        <v>0</v>
      </c>
      <c r="P205" s="50">
        <v>0</v>
      </c>
      <c r="Q205" s="52">
        <f>tablet[[#This Row],[qtySaldoAkhir2025]]*tablet[[#This Row],[hargaSatuan]]</f>
        <v>0</v>
      </c>
      <c r="S205" s="32">
        <f t="shared" si="6"/>
        <v>0</v>
      </c>
      <c r="T205" s="32">
        <f t="shared" si="7"/>
        <v>0</v>
      </c>
      <c r="W205" s="53"/>
    </row>
    <row r="206" spans="1:59" ht="14.4" x14ac:dyDescent="0.3">
      <c r="A206" s="44">
        <v>197</v>
      </c>
      <c r="B206" s="45" t="s">
        <v>309</v>
      </c>
      <c r="C206" s="46" t="s">
        <v>52</v>
      </c>
      <c r="D206" s="47" t="s">
        <v>311</v>
      </c>
      <c r="E206" s="48">
        <v>46874</v>
      </c>
      <c r="F206" s="49">
        <v>300</v>
      </c>
      <c r="G206" s="45" t="s">
        <v>17</v>
      </c>
      <c r="H206" s="50">
        <v>15900</v>
      </c>
      <c r="I206" s="49">
        <f>tablet[[#This Row],[qtySaldoAwalSem1]]*tablet[[#This Row],[hargaSatuan]]</f>
        <v>4770000</v>
      </c>
      <c r="J206" s="50">
        <v>0</v>
      </c>
      <c r="K206" s="51">
        <f>tablet[[#This Row],[qtyTerima2025]]*tablet[[#This Row],[hargaSatuan]]</f>
        <v>0</v>
      </c>
      <c r="L206" s="50">
        <v>15900</v>
      </c>
      <c r="M206" s="51">
        <f>tablet[[#This Row],[qtyDist2025]]*tablet[[#This Row],[hargaSatuan]]</f>
        <v>4770000</v>
      </c>
      <c r="N206" s="50">
        <v>0</v>
      </c>
      <c r="O206" s="51">
        <f>tablet[[#This Row],[qtyEd2025]]*tablet[[#This Row],[hargaSatuan]]</f>
        <v>0</v>
      </c>
      <c r="P206" s="50">
        <v>0</v>
      </c>
      <c r="Q206" s="52">
        <f>tablet[[#This Row],[qtySaldoAkhir2025]]*tablet[[#This Row],[hargaSatuan]]</f>
        <v>0</v>
      </c>
      <c r="S206" s="32">
        <f t="shared" si="6"/>
        <v>0</v>
      </c>
      <c r="T206" s="32">
        <f t="shared" si="7"/>
        <v>0</v>
      </c>
      <c r="W206" s="53"/>
    </row>
    <row r="207" spans="1:59" ht="14.4" x14ac:dyDescent="0.3">
      <c r="A207" s="44">
        <v>198</v>
      </c>
      <c r="B207" s="45" t="s">
        <v>312</v>
      </c>
      <c r="C207" s="46" t="s">
        <v>47</v>
      </c>
      <c r="D207" s="47">
        <v>3199110</v>
      </c>
      <c r="E207" s="48">
        <v>46721</v>
      </c>
      <c r="F207" s="49">
        <v>21194</v>
      </c>
      <c r="G207" s="45" t="s">
        <v>40</v>
      </c>
      <c r="H207" s="50">
        <v>0</v>
      </c>
      <c r="I207" s="49">
        <f>tablet[[#This Row],[qtySaldoAwalSem1]]*tablet[[#This Row],[hargaSatuan]]</f>
        <v>0</v>
      </c>
      <c r="J207" s="50">
        <v>728</v>
      </c>
      <c r="K207" s="51">
        <f>tablet[[#This Row],[qtyTerima2025]]*tablet[[#This Row],[hargaSatuan]]</f>
        <v>15429232</v>
      </c>
      <c r="L207" s="50">
        <v>728</v>
      </c>
      <c r="M207" s="51">
        <f>tablet[[#This Row],[qtyDist2025]]*tablet[[#This Row],[hargaSatuan]]</f>
        <v>15429232</v>
      </c>
      <c r="N207" s="50">
        <v>0</v>
      </c>
      <c r="O207" s="51">
        <f>tablet[[#This Row],[qtyEd2025]]*tablet[[#This Row],[hargaSatuan]]</f>
        <v>0</v>
      </c>
      <c r="P207" s="50">
        <v>0</v>
      </c>
      <c r="Q207" s="52">
        <f>tablet[[#This Row],[qtySaldoAkhir2025]]*tablet[[#This Row],[hargaSatuan]]</f>
        <v>0</v>
      </c>
      <c r="R207" s="53"/>
      <c r="S207" s="32">
        <f t="shared" si="6"/>
        <v>0</v>
      </c>
      <c r="T207" s="32">
        <f t="shared" si="7"/>
        <v>0</v>
      </c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  <c r="AG207" s="53"/>
      <c r="AH207" s="53"/>
      <c r="AI207" s="53"/>
      <c r="AJ207" s="53"/>
      <c r="AK207" s="53"/>
      <c r="AL207" s="53"/>
      <c r="AM207" s="53"/>
      <c r="AN207" s="53"/>
      <c r="AO207" s="53"/>
      <c r="AP207" s="53"/>
      <c r="AQ207" s="53"/>
      <c r="AR207" s="53"/>
      <c r="AS207" s="53"/>
      <c r="AT207" s="53"/>
      <c r="AU207" s="53"/>
      <c r="AV207" s="53"/>
      <c r="AW207" s="53"/>
      <c r="AX207" s="53"/>
      <c r="AY207" s="53"/>
      <c r="AZ207" s="53"/>
      <c r="BA207" s="53"/>
      <c r="BB207" s="53"/>
      <c r="BC207" s="53"/>
      <c r="BD207" s="53"/>
      <c r="BE207" s="53"/>
      <c r="BF207" s="53"/>
      <c r="BG207" s="53"/>
    </row>
    <row r="208" spans="1:59" ht="14.4" x14ac:dyDescent="0.3">
      <c r="A208" s="44">
        <v>199</v>
      </c>
      <c r="B208" s="45" t="s">
        <v>312</v>
      </c>
      <c r="C208" s="46" t="s">
        <v>47</v>
      </c>
      <c r="D208" s="47">
        <v>3199574</v>
      </c>
      <c r="E208" s="48">
        <v>46752</v>
      </c>
      <c r="F208" s="49">
        <v>21194</v>
      </c>
      <c r="G208" s="45" t="s">
        <v>40</v>
      </c>
      <c r="H208" s="50">
        <v>0</v>
      </c>
      <c r="I208" s="49">
        <f>tablet[[#This Row],[qtySaldoAwalSem1]]*tablet[[#This Row],[hargaSatuan]]</f>
        <v>0</v>
      </c>
      <c r="J208" s="50">
        <v>442</v>
      </c>
      <c r="K208" s="51">
        <f>tablet[[#This Row],[qtyTerima2025]]*tablet[[#This Row],[hargaSatuan]]</f>
        <v>9367748</v>
      </c>
      <c r="L208" s="50">
        <v>442</v>
      </c>
      <c r="M208" s="51">
        <f>tablet[[#This Row],[qtyDist2025]]*tablet[[#This Row],[hargaSatuan]]</f>
        <v>9367748</v>
      </c>
      <c r="N208" s="50">
        <v>0</v>
      </c>
      <c r="O208" s="51">
        <f>tablet[[#This Row],[qtyEd2025]]*tablet[[#This Row],[hargaSatuan]]</f>
        <v>0</v>
      </c>
      <c r="P208" s="50">
        <v>0</v>
      </c>
      <c r="Q208" s="52">
        <f>tablet[[#This Row],[qtySaldoAkhir2025]]*tablet[[#This Row],[hargaSatuan]]</f>
        <v>0</v>
      </c>
      <c r="R208" s="53"/>
      <c r="S208" s="32">
        <f t="shared" si="6"/>
        <v>0</v>
      </c>
      <c r="T208" s="32">
        <f t="shared" si="7"/>
        <v>0</v>
      </c>
      <c r="U208" s="53"/>
      <c r="V208" s="53"/>
      <c r="X208" s="53"/>
      <c r="Y208" s="53"/>
      <c r="Z208" s="53"/>
      <c r="AA208" s="53"/>
      <c r="AB208" s="53"/>
      <c r="AC208" s="53"/>
      <c r="AD208" s="53"/>
      <c r="AE208" s="53"/>
      <c r="AF208" s="53"/>
      <c r="AG208" s="53"/>
      <c r="AH208" s="53"/>
      <c r="AI208" s="53"/>
      <c r="AJ208" s="53"/>
      <c r="AK208" s="53"/>
      <c r="AL208" s="53"/>
      <c r="AM208" s="53"/>
      <c r="AN208" s="53"/>
      <c r="AO208" s="53"/>
      <c r="AP208" s="53"/>
      <c r="AQ208" s="53"/>
      <c r="AR208" s="53"/>
      <c r="AS208" s="53"/>
      <c r="AT208" s="53"/>
      <c r="AU208" s="53"/>
      <c r="AV208" s="53"/>
      <c r="AW208" s="53"/>
      <c r="AX208" s="53"/>
      <c r="AY208" s="53"/>
      <c r="AZ208" s="53"/>
      <c r="BA208" s="53"/>
      <c r="BB208" s="53"/>
      <c r="BC208" s="53"/>
      <c r="BD208" s="53"/>
      <c r="BE208" s="53"/>
      <c r="BF208" s="53"/>
      <c r="BG208" s="53"/>
    </row>
    <row r="209" spans="1:59" ht="14.4" x14ac:dyDescent="0.3">
      <c r="A209" s="44">
        <v>200</v>
      </c>
      <c r="B209" s="45" t="s">
        <v>312</v>
      </c>
      <c r="C209" s="46" t="s">
        <v>47</v>
      </c>
      <c r="D209" s="47">
        <v>3204272</v>
      </c>
      <c r="E209" s="48">
        <v>46783</v>
      </c>
      <c r="F209" s="49">
        <v>21706</v>
      </c>
      <c r="G209" s="45" t="s">
        <v>40</v>
      </c>
      <c r="H209" s="50">
        <v>0</v>
      </c>
      <c r="I209" s="49">
        <f>tablet[[#This Row],[qtySaldoAwalSem1]]*tablet[[#This Row],[hargaSatuan]]</f>
        <v>0</v>
      </c>
      <c r="J209" s="50">
        <v>234</v>
      </c>
      <c r="K209" s="51">
        <f>tablet[[#This Row],[qtyTerima2025]]*tablet[[#This Row],[hargaSatuan]]</f>
        <v>5079204</v>
      </c>
      <c r="L209" s="50">
        <v>234</v>
      </c>
      <c r="M209" s="51">
        <f>tablet[[#This Row],[qtyDist2025]]*tablet[[#This Row],[hargaSatuan]]</f>
        <v>5079204</v>
      </c>
      <c r="N209" s="50">
        <v>0</v>
      </c>
      <c r="O209" s="51">
        <f>tablet[[#This Row],[qtyEd2025]]*tablet[[#This Row],[hargaSatuan]]</f>
        <v>0</v>
      </c>
      <c r="P209" s="50">
        <v>0</v>
      </c>
      <c r="Q209" s="52">
        <f>tablet[[#This Row],[qtySaldoAkhir2025]]*tablet[[#This Row],[hargaSatuan]]</f>
        <v>0</v>
      </c>
      <c r="R209" s="53"/>
      <c r="S209" s="32">
        <f t="shared" si="6"/>
        <v>0</v>
      </c>
      <c r="T209" s="32">
        <f t="shared" si="7"/>
        <v>0</v>
      </c>
      <c r="U209" s="53"/>
      <c r="V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  <c r="AI209" s="53"/>
      <c r="AJ209" s="53"/>
      <c r="AK209" s="53"/>
      <c r="AL209" s="53"/>
      <c r="AM209" s="53"/>
      <c r="AN209" s="53"/>
      <c r="AO209" s="53"/>
      <c r="AP209" s="53"/>
      <c r="AQ209" s="53"/>
      <c r="AR209" s="53"/>
      <c r="AS209" s="53"/>
      <c r="AT209" s="53"/>
      <c r="AU209" s="53"/>
      <c r="AV209" s="53"/>
      <c r="AW209" s="53"/>
      <c r="AX209" s="53"/>
      <c r="AY209" s="53"/>
      <c r="AZ209" s="53"/>
      <c r="BA209" s="53"/>
      <c r="BB209" s="53"/>
      <c r="BC209" s="53"/>
      <c r="BD209" s="53"/>
      <c r="BE209" s="53"/>
      <c r="BF209" s="53"/>
      <c r="BG209" s="53"/>
    </row>
    <row r="210" spans="1:59" ht="14.4" x14ac:dyDescent="0.3">
      <c r="A210" s="44">
        <v>201</v>
      </c>
      <c r="B210" s="45" t="s">
        <v>313</v>
      </c>
      <c r="C210" s="46" t="s">
        <v>52</v>
      </c>
      <c r="D210" s="47">
        <v>66386004</v>
      </c>
      <c r="E210" s="48">
        <v>45809</v>
      </c>
      <c r="F210" s="49">
        <v>375</v>
      </c>
      <c r="G210" s="45" t="s">
        <v>40</v>
      </c>
      <c r="H210" s="50">
        <v>360</v>
      </c>
      <c r="I210" s="49">
        <f>tablet[[#This Row],[qtySaldoAwalSem1]]*tablet[[#This Row],[hargaSatuan]]</f>
        <v>135000</v>
      </c>
      <c r="J210" s="50">
        <v>0</v>
      </c>
      <c r="K210" s="51">
        <f>tablet[[#This Row],[qtyTerima2025]]*tablet[[#This Row],[hargaSatuan]]</f>
        <v>0</v>
      </c>
      <c r="L210" s="50">
        <v>70</v>
      </c>
      <c r="M210" s="51">
        <f>tablet[[#This Row],[qtyDist2025]]*tablet[[#This Row],[hargaSatuan]]</f>
        <v>26250</v>
      </c>
      <c r="N210" s="50">
        <v>290</v>
      </c>
      <c r="O210" s="51">
        <f>tablet[[#This Row],[qtyEd2025]]*tablet[[#This Row],[hargaSatuan]]</f>
        <v>108750</v>
      </c>
      <c r="P210" s="50">
        <v>0</v>
      </c>
      <c r="Q210" s="52">
        <f>tablet[[#This Row],[qtySaldoAkhir2025]]*tablet[[#This Row],[hargaSatuan]]</f>
        <v>0</v>
      </c>
      <c r="R210" s="53"/>
      <c r="S210" s="32">
        <f t="shared" si="6"/>
        <v>0</v>
      </c>
      <c r="T210" s="32">
        <f t="shared" si="7"/>
        <v>0</v>
      </c>
      <c r="U210" s="53"/>
      <c r="V210" s="53"/>
      <c r="W210" s="53"/>
      <c r="X210" s="53"/>
      <c r="Y210" s="53"/>
      <c r="Z210" s="53"/>
      <c r="AA210" s="53"/>
      <c r="AB210" s="53"/>
      <c r="AC210" s="53"/>
      <c r="AD210" s="53"/>
      <c r="AE210" s="53"/>
      <c r="AF210" s="53"/>
      <c r="AG210" s="53"/>
      <c r="AH210" s="53"/>
      <c r="AI210" s="53"/>
      <c r="AJ210" s="53"/>
      <c r="AK210" s="53"/>
      <c r="AL210" s="53"/>
      <c r="AM210" s="53"/>
      <c r="AN210" s="53"/>
      <c r="AO210" s="53"/>
      <c r="AP210" s="53"/>
      <c r="AQ210" s="53"/>
      <c r="AR210" s="53"/>
      <c r="AS210" s="53"/>
      <c r="AT210" s="53"/>
      <c r="AU210" s="53"/>
      <c r="AV210" s="53"/>
      <c r="AW210" s="53"/>
      <c r="AX210" s="53"/>
      <c r="AY210" s="53"/>
      <c r="AZ210" s="53"/>
      <c r="BA210" s="53"/>
      <c r="BB210" s="53"/>
      <c r="BC210" s="53"/>
      <c r="BD210" s="53"/>
      <c r="BE210" s="53"/>
      <c r="BF210" s="53"/>
      <c r="BG210" s="53"/>
    </row>
    <row r="211" spans="1:59" ht="14.4" x14ac:dyDescent="0.3">
      <c r="A211" s="44">
        <v>202</v>
      </c>
      <c r="B211" s="45" t="s">
        <v>313</v>
      </c>
      <c r="C211" s="46" t="s">
        <v>52</v>
      </c>
      <c r="D211" s="47">
        <v>76386004</v>
      </c>
      <c r="E211" s="48">
        <v>46143</v>
      </c>
      <c r="F211" s="49">
        <v>545</v>
      </c>
      <c r="G211" s="45" t="s">
        <v>40</v>
      </c>
      <c r="H211" s="50">
        <v>0</v>
      </c>
      <c r="I211" s="49">
        <f>tablet[[#This Row],[qtySaldoAwalSem1]]*tablet[[#This Row],[hargaSatuan]]</f>
        <v>0</v>
      </c>
      <c r="J211" s="50">
        <v>500</v>
      </c>
      <c r="K211" s="51">
        <f>tablet[[#This Row],[qtyTerima2025]]*tablet[[#This Row],[hargaSatuan]]</f>
        <v>272500</v>
      </c>
      <c r="L211" s="50">
        <v>160</v>
      </c>
      <c r="M211" s="51">
        <f>tablet[[#This Row],[qtyDist2025]]*tablet[[#This Row],[hargaSatuan]]</f>
        <v>87200</v>
      </c>
      <c r="N211" s="50">
        <v>0</v>
      </c>
      <c r="O211" s="51">
        <f>tablet[[#This Row],[qtyEd2025]]*tablet[[#This Row],[hargaSatuan]]</f>
        <v>0</v>
      </c>
      <c r="P211" s="50">
        <v>340</v>
      </c>
      <c r="Q211" s="52">
        <f>tablet[[#This Row],[qtySaldoAkhir2025]]*tablet[[#This Row],[hargaSatuan]]</f>
        <v>185300</v>
      </c>
      <c r="R211" s="53"/>
      <c r="S211" s="32">
        <f t="shared" si="6"/>
        <v>185300</v>
      </c>
      <c r="T211" s="32">
        <f t="shared" si="7"/>
        <v>0</v>
      </c>
      <c r="U211" s="53"/>
      <c r="V211" s="53"/>
      <c r="X211" s="53"/>
      <c r="Y211" s="53"/>
      <c r="Z211" s="53"/>
      <c r="AA211" s="53"/>
      <c r="AB211" s="53"/>
      <c r="AC211" s="53"/>
      <c r="AD211" s="53"/>
      <c r="AE211" s="53"/>
      <c r="AF211" s="53"/>
      <c r="AG211" s="53"/>
      <c r="AH211" s="53"/>
      <c r="AI211" s="53"/>
      <c r="AJ211" s="53"/>
      <c r="AK211" s="53"/>
      <c r="AL211" s="53"/>
      <c r="AM211" s="53"/>
      <c r="AN211" s="53"/>
      <c r="AO211" s="53"/>
      <c r="AP211" s="53"/>
      <c r="AQ211" s="53"/>
      <c r="AR211" s="53"/>
      <c r="AS211" s="53"/>
      <c r="AT211" s="53"/>
      <c r="AU211" s="53"/>
      <c r="AV211" s="53"/>
      <c r="AW211" s="53"/>
      <c r="AX211" s="53"/>
      <c r="AY211" s="53"/>
      <c r="AZ211" s="53"/>
      <c r="BA211" s="53"/>
      <c r="BB211" s="53"/>
      <c r="BC211" s="53"/>
      <c r="BD211" s="53"/>
      <c r="BE211" s="53"/>
      <c r="BF211" s="53"/>
      <c r="BG211" s="53"/>
    </row>
    <row r="212" spans="1:59" ht="14.4" x14ac:dyDescent="0.3">
      <c r="A212" s="44">
        <v>203</v>
      </c>
      <c r="B212" s="45" t="s">
        <v>314</v>
      </c>
      <c r="C212" s="46" t="s">
        <v>52</v>
      </c>
      <c r="D212" s="47" t="s">
        <v>315</v>
      </c>
      <c r="E212" s="48">
        <v>46174</v>
      </c>
      <c r="F212" s="49">
        <v>462</v>
      </c>
      <c r="G212" s="45" t="s">
        <v>54</v>
      </c>
      <c r="H212" s="50">
        <v>300</v>
      </c>
      <c r="I212" s="49">
        <f>tablet[[#This Row],[qtySaldoAwalSem1]]*tablet[[#This Row],[hargaSatuan]]</f>
        <v>138600</v>
      </c>
      <c r="J212" s="50">
        <v>0</v>
      </c>
      <c r="K212" s="51">
        <f>tablet[[#This Row],[qtyTerima2025]]*tablet[[#This Row],[hargaSatuan]]</f>
        <v>0</v>
      </c>
      <c r="L212" s="50">
        <v>300</v>
      </c>
      <c r="M212" s="51">
        <f>tablet[[#This Row],[qtyDist2025]]*tablet[[#This Row],[hargaSatuan]]</f>
        <v>138600</v>
      </c>
      <c r="N212" s="50">
        <v>0</v>
      </c>
      <c r="O212" s="51">
        <f>tablet[[#This Row],[qtyEd2025]]*tablet[[#This Row],[hargaSatuan]]</f>
        <v>0</v>
      </c>
      <c r="P212" s="50">
        <v>0</v>
      </c>
      <c r="Q212" s="52">
        <f>tablet[[#This Row],[qtySaldoAkhir2025]]*tablet[[#This Row],[hargaSatuan]]</f>
        <v>0</v>
      </c>
      <c r="S212" s="32">
        <f t="shared" si="6"/>
        <v>0</v>
      </c>
      <c r="T212" s="32">
        <f t="shared" si="7"/>
        <v>0</v>
      </c>
    </row>
    <row r="213" spans="1:59" ht="14.4" x14ac:dyDescent="0.3">
      <c r="A213" s="44">
        <v>204</v>
      </c>
      <c r="B213" s="45" t="s">
        <v>316</v>
      </c>
      <c r="C213" s="46" t="s">
        <v>52</v>
      </c>
      <c r="D213" s="47">
        <v>1203307</v>
      </c>
      <c r="E213" s="48">
        <v>45717</v>
      </c>
      <c r="F213" s="49">
        <v>66</v>
      </c>
      <c r="G213" s="45" t="s">
        <v>54</v>
      </c>
      <c r="H213" s="50">
        <v>69200</v>
      </c>
      <c r="I213" s="49">
        <f>tablet[[#This Row],[qtySaldoAwalSem1]]*tablet[[#This Row],[hargaSatuan]]</f>
        <v>4567200</v>
      </c>
      <c r="J213" s="50">
        <v>0</v>
      </c>
      <c r="K213" s="51">
        <f>tablet[[#This Row],[qtyTerima2025]]*tablet[[#This Row],[hargaSatuan]]</f>
        <v>0</v>
      </c>
      <c r="L213" s="50">
        <v>100</v>
      </c>
      <c r="M213" s="51">
        <f>tablet[[#This Row],[qtyDist2025]]*tablet[[#This Row],[hargaSatuan]]</f>
        <v>6600</v>
      </c>
      <c r="N213" s="50">
        <v>69100</v>
      </c>
      <c r="O213" s="51">
        <f>tablet[[#This Row],[qtyEd2025]]*tablet[[#This Row],[hargaSatuan]]</f>
        <v>4560600</v>
      </c>
      <c r="P213" s="50">
        <v>0</v>
      </c>
      <c r="Q213" s="52">
        <f>tablet[[#This Row],[qtySaldoAkhir2025]]*tablet[[#This Row],[hargaSatuan]]</f>
        <v>0</v>
      </c>
      <c r="S213" s="32">
        <f t="shared" si="6"/>
        <v>0</v>
      </c>
      <c r="T213" s="32">
        <f t="shared" si="7"/>
        <v>0</v>
      </c>
    </row>
    <row r="214" spans="1:59" ht="14.4" x14ac:dyDescent="0.3">
      <c r="A214" s="44">
        <v>205</v>
      </c>
      <c r="B214" s="45" t="s">
        <v>317</v>
      </c>
      <c r="C214" s="46" t="s">
        <v>47</v>
      </c>
      <c r="D214" s="47">
        <v>1405644</v>
      </c>
      <c r="E214" s="48">
        <v>46538</v>
      </c>
      <c r="F214" s="49">
        <v>334</v>
      </c>
      <c r="G214" s="45" t="s">
        <v>40</v>
      </c>
      <c r="H214" s="50">
        <v>0</v>
      </c>
      <c r="I214" s="49">
        <f>tablet[[#This Row],[qtySaldoAwalSem1]]*tablet[[#This Row],[hargaSatuan]]</f>
        <v>0</v>
      </c>
      <c r="J214" s="50">
        <v>1800</v>
      </c>
      <c r="K214" s="51">
        <f>tablet[[#This Row],[qtyTerima2025]]*tablet[[#This Row],[hargaSatuan]]</f>
        <v>601200</v>
      </c>
      <c r="L214" s="50">
        <v>1800</v>
      </c>
      <c r="M214" s="51">
        <f>tablet[[#This Row],[qtyDist2025]]*tablet[[#This Row],[hargaSatuan]]</f>
        <v>601200</v>
      </c>
      <c r="N214" s="50">
        <v>0</v>
      </c>
      <c r="O214" s="51">
        <f>tablet[[#This Row],[qtyEd2025]]*tablet[[#This Row],[hargaSatuan]]</f>
        <v>0</v>
      </c>
      <c r="P214" s="50">
        <v>0</v>
      </c>
      <c r="Q214" s="52">
        <f>tablet[[#This Row],[qtySaldoAkhir2025]]*tablet[[#This Row],[hargaSatuan]]</f>
        <v>0</v>
      </c>
      <c r="R214" s="53"/>
      <c r="S214" s="32">
        <f t="shared" si="6"/>
        <v>0</v>
      </c>
      <c r="T214" s="32">
        <f t="shared" si="7"/>
        <v>0</v>
      </c>
      <c r="U214" s="53"/>
      <c r="V214" s="53"/>
      <c r="X214" s="53"/>
      <c r="Y214" s="53"/>
      <c r="Z214" s="53"/>
      <c r="AA214" s="53"/>
      <c r="AB214" s="53"/>
      <c r="AC214" s="53"/>
      <c r="AD214" s="53"/>
      <c r="AE214" s="53"/>
      <c r="AF214" s="53"/>
      <c r="AG214" s="53"/>
      <c r="AH214" s="53"/>
      <c r="AI214" s="53"/>
      <c r="AJ214" s="53"/>
      <c r="AK214" s="53"/>
      <c r="AL214" s="53"/>
      <c r="AM214" s="53"/>
      <c r="AN214" s="53"/>
      <c r="AO214" s="53"/>
      <c r="AP214" s="53"/>
      <c r="AQ214" s="53"/>
      <c r="AR214" s="53"/>
      <c r="AS214" s="53"/>
      <c r="AT214" s="53"/>
      <c r="AU214" s="53"/>
      <c r="AV214" s="53"/>
      <c r="AW214" s="53"/>
      <c r="AX214" s="53"/>
      <c r="AY214" s="53"/>
      <c r="AZ214" s="53"/>
      <c r="BA214" s="53"/>
      <c r="BB214" s="53"/>
      <c r="BC214" s="53"/>
      <c r="BD214" s="53"/>
      <c r="BE214" s="53"/>
      <c r="BF214" s="53"/>
      <c r="BG214" s="53"/>
    </row>
    <row r="215" spans="1:59" ht="14.4" x14ac:dyDescent="0.3">
      <c r="A215" s="44">
        <v>206</v>
      </c>
      <c r="B215" s="45" t="s">
        <v>318</v>
      </c>
      <c r="C215" s="46" t="s">
        <v>52</v>
      </c>
      <c r="D215" s="47">
        <v>1409228</v>
      </c>
      <c r="E215" s="48">
        <v>46997</v>
      </c>
      <c r="F215" s="49">
        <v>170</v>
      </c>
      <c r="G215" s="45" t="s">
        <v>54</v>
      </c>
      <c r="H215" s="50">
        <v>48800</v>
      </c>
      <c r="I215" s="49">
        <f>tablet[[#This Row],[qtySaldoAwalSem1]]*tablet[[#This Row],[hargaSatuan]]</f>
        <v>8296000</v>
      </c>
      <c r="J215" s="50">
        <v>0</v>
      </c>
      <c r="K215" s="51">
        <f>tablet[[#This Row],[qtyTerima2025]]*tablet[[#This Row],[hargaSatuan]]</f>
        <v>0</v>
      </c>
      <c r="L215" s="50">
        <v>48800</v>
      </c>
      <c r="M215" s="51">
        <f>tablet[[#This Row],[qtyDist2025]]*tablet[[#This Row],[hargaSatuan]]</f>
        <v>8296000</v>
      </c>
      <c r="N215" s="50">
        <v>0</v>
      </c>
      <c r="O215" s="51">
        <f>tablet[[#This Row],[qtyEd2025]]*tablet[[#This Row],[hargaSatuan]]</f>
        <v>0</v>
      </c>
      <c r="P215" s="50">
        <v>0</v>
      </c>
      <c r="Q215" s="52">
        <f>tablet[[#This Row],[qtySaldoAkhir2025]]*tablet[[#This Row],[hargaSatuan]]</f>
        <v>0</v>
      </c>
      <c r="S215" s="32">
        <f t="shared" si="6"/>
        <v>0</v>
      </c>
      <c r="T215" s="32">
        <f t="shared" si="7"/>
        <v>0</v>
      </c>
    </row>
    <row r="216" spans="1:59" ht="14.4" x14ac:dyDescent="0.3">
      <c r="A216" s="44">
        <v>207</v>
      </c>
      <c r="B216" s="45" t="s">
        <v>319</v>
      </c>
      <c r="C216" s="46" t="s">
        <v>52</v>
      </c>
      <c r="D216" s="47" t="s">
        <v>320</v>
      </c>
      <c r="E216" s="48">
        <v>46113</v>
      </c>
      <c r="F216" s="49">
        <v>220</v>
      </c>
      <c r="G216" s="45" t="s">
        <v>43</v>
      </c>
      <c r="H216" s="50">
        <v>2400</v>
      </c>
      <c r="I216" s="49">
        <f>tablet[[#This Row],[qtySaldoAwalSem1]]*tablet[[#This Row],[hargaSatuan]]</f>
        <v>528000</v>
      </c>
      <c r="J216" s="50">
        <v>0</v>
      </c>
      <c r="K216" s="51">
        <f>tablet[[#This Row],[qtyTerima2025]]*tablet[[#This Row],[hargaSatuan]]</f>
        <v>0</v>
      </c>
      <c r="L216" s="50">
        <v>2400</v>
      </c>
      <c r="M216" s="51">
        <f>tablet[[#This Row],[qtyDist2025]]*tablet[[#This Row],[hargaSatuan]]</f>
        <v>528000</v>
      </c>
      <c r="N216" s="50">
        <v>0</v>
      </c>
      <c r="O216" s="51">
        <f>tablet[[#This Row],[qtyEd2025]]*tablet[[#This Row],[hargaSatuan]]</f>
        <v>0</v>
      </c>
      <c r="P216" s="50">
        <v>0</v>
      </c>
      <c r="Q216" s="52">
        <f>tablet[[#This Row],[qtySaldoAkhir2025]]*tablet[[#This Row],[hargaSatuan]]</f>
        <v>0</v>
      </c>
      <c r="S216" s="32">
        <f t="shared" si="6"/>
        <v>0</v>
      </c>
      <c r="T216" s="32">
        <f t="shared" si="7"/>
        <v>0</v>
      </c>
    </row>
    <row r="217" spans="1:59" ht="14.4" x14ac:dyDescent="0.3">
      <c r="A217" s="44">
        <v>208</v>
      </c>
      <c r="B217" s="45" t="s">
        <v>321</v>
      </c>
      <c r="C217" s="46" t="s">
        <v>52</v>
      </c>
      <c r="D217" s="47" t="s">
        <v>322</v>
      </c>
      <c r="E217" s="48">
        <v>46905</v>
      </c>
      <c r="F217" s="49">
        <v>191</v>
      </c>
      <c r="G217" s="45" t="s">
        <v>54</v>
      </c>
      <c r="H217" s="50">
        <v>10200</v>
      </c>
      <c r="I217" s="49">
        <f>tablet[[#This Row],[qtySaldoAwalSem1]]*tablet[[#This Row],[hargaSatuan]]</f>
        <v>1948200</v>
      </c>
      <c r="J217" s="50">
        <v>0</v>
      </c>
      <c r="K217" s="51">
        <f>tablet[[#This Row],[qtyTerima2025]]*tablet[[#This Row],[hargaSatuan]]</f>
        <v>0</v>
      </c>
      <c r="L217" s="50">
        <v>10200</v>
      </c>
      <c r="M217" s="51">
        <f>tablet[[#This Row],[qtyDist2025]]*tablet[[#This Row],[hargaSatuan]]</f>
        <v>1948200</v>
      </c>
      <c r="N217" s="50">
        <v>0</v>
      </c>
      <c r="O217" s="51">
        <f>tablet[[#This Row],[qtyEd2025]]*tablet[[#This Row],[hargaSatuan]]</f>
        <v>0</v>
      </c>
      <c r="P217" s="50">
        <v>0</v>
      </c>
      <c r="Q217" s="52">
        <f>tablet[[#This Row],[qtySaldoAkhir2025]]*tablet[[#This Row],[hargaSatuan]]</f>
        <v>0</v>
      </c>
      <c r="S217" s="32">
        <f t="shared" si="6"/>
        <v>0</v>
      </c>
      <c r="T217" s="32">
        <f t="shared" si="7"/>
        <v>0</v>
      </c>
    </row>
    <row r="218" spans="1:59" ht="14.4" x14ac:dyDescent="0.3">
      <c r="A218" s="44">
        <v>209</v>
      </c>
      <c r="B218" s="45" t="s">
        <v>321</v>
      </c>
      <c r="C218" s="46" t="s">
        <v>52</v>
      </c>
      <c r="D218" s="47" t="s">
        <v>323</v>
      </c>
      <c r="E218" s="48">
        <v>46905</v>
      </c>
      <c r="F218" s="49">
        <v>191</v>
      </c>
      <c r="G218" s="45" t="s">
        <v>54</v>
      </c>
      <c r="H218" s="50">
        <v>5900</v>
      </c>
      <c r="I218" s="49">
        <f>tablet[[#This Row],[qtySaldoAwalSem1]]*tablet[[#This Row],[hargaSatuan]]</f>
        <v>1126900</v>
      </c>
      <c r="J218" s="50">
        <v>0</v>
      </c>
      <c r="K218" s="51">
        <f>tablet[[#This Row],[qtyTerima2025]]*tablet[[#This Row],[hargaSatuan]]</f>
        <v>0</v>
      </c>
      <c r="L218" s="50">
        <v>5900</v>
      </c>
      <c r="M218" s="51">
        <f>tablet[[#This Row],[qtyDist2025]]*tablet[[#This Row],[hargaSatuan]]</f>
        <v>1126900</v>
      </c>
      <c r="N218" s="50">
        <v>0</v>
      </c>
      <c r="O218" s="51">
        <f>tablet[[#This Row],[qtyEd2025]]*tablet[[#This Row],[hargaSatuan]]</f>
        <v>0</v>
      </c>
      <c r="P218" s="50">
        <v>0</v>
      </c>
      <c r="Q218" s="52">
        <f>tablet[[#This Row],[qtySaldoAkhir2025]]*tablet[[#This Row],[hargaSatuan]]</f>
        <v>0</v>
      </c>
      <c r="S218" s="32">
        <f t="shared" si="6"/>
        <v>0</v>
      </c>
      <c r="T218" s="32">
        <f t="shared" si="7"/>
        <v>0</v>
      </c>
    </row>
    <row r="219" spans="1:59" ht="14.4" x14ac:dyDescent="0.3">
      <c r="A219" s="44">
        <v>210</v>
      </c>
      <c r="B219" s="45" t="s">
        <v>321</v>
      </c>
      <c r="C219" s="46" t="s">
        <v>52</v>
      </c>
      <c r="D219" s="47" t="s">
        <v>324</v>
      </c>
      <c r="E219" s="48">
        <v>47057</v>
      </c>
      <c r="F219" s="49">
        <v>191</v>
      </c>
      <c r="G219" s="45" t="s">
        <v>36</v>
      </c>
      <c r="H219" s="50">
        <v>0</v>
      </c>
      <c r="I219" s="49">
        <f>tablet[[#This Row],[qtySaldoAwalSem1]]*tablet[[#This Row],[hargaSatuan]]</f>
        <v>0</v>
      </c>
      <c r="J219" s="50">
        <v>30000</v>
      </c>
      <c r="K219" s="51">
        <f>tablet[[#This Row],[qtyTerima2025]]*tablet[[#This Row],[hargaSatuan]]</f>
        <v>5730000</v>
      </c>
      <c r="L219" s="50">
        <v>9800</v>
      </c>
      <c r="M219" s="51">
        <f>tablet[[#This Row],[qtyDist2025]]*tablet[[#This Row],[hargaSatuan]]</f>
        <v>1871800</v>
      </c>
      <c r="N219" s="50">
        <v>0</v>
      </c>
      <c r="O219" s="51">
        <f>tablet[[#This Row],[qtyEd2025]]*tablet[[#This Row],[hargaSatuan]]</f>
        <v>0</v>
      </c>
      <c r="P219" s="50">
        <v>20200</v>
      </c>
      <c r="Q219" s="52">
        <f>tablet[[#This Row],[qtySaldoAkhir2025]]*tablet[[#This Row],[hargaSatuan]]</f>
        <v>3858200</v>
      </c>
      <c r="S219" s="32">
        <f t="shared" si="6"/>
        <v>3858200</v>
      </c>
      <c r="T219" s="32">
        <f t="shared" si="7"/>
        <v>0</v>
      </c>
    </row>
    <row r="220" spans="1:59" ht="14.4" x14ac:dyDescent="0.3">
      <c r="A220" s="44">
        <v>211</v>
      </c>
      <c r="B220" s="45" t="s">
        <v>325</v>
      </c>
      <c r="C220" s="46" t="s">
        <v>52</v>
      </c>
      <c r="D220" s="47">
        <v>27404409</v>
      </c>
      <c r="E220" s="48">
        <v>46266</v>
      </c>
      <c r="F220" s="49">
        <v>74</v>
      </c>
      <c r="G220" s="45" t="s">
        <v>54</v>
      </c>
      <c r="H220" s="50">
        <v>15500</v>
      </c>
      <c r="I220" s="49">
        <f>tablet[[#This Row],[qtySaldoAwalSem1]]*tablet[[#This Row],[hargaSatuan]]</f>
        <v>1147000</v>
      </c>
      <c r="J220" s="50">
        <v>0</v>
      </c>
      <c r="K220" s="51">
        <f>tablet[[#This Row],[qtyTerima2025]]*tablet[[#This Row],[hargaSatuan]]</f>
        <v>0</v>
      </c>
      <c r="L220" s="50">
        <v>15500</v>
      </c>
      <c r="M220" s="51">
        <f>tablet[[#This Row],[qtyDist2025]]*tablet[[#This Row],[hargaSatuan]]</f>
        <v>1147000</v>
      </c>
      <c r="N220" s="50">
        <v>0</v>
      </c>
      <c r="O220" s="51">
        <f>tablet[[#This Row],[qtyEd2025]]*tablet[[#This Row],[hargaSatuan]]</f>
        <v>0</v>
      </c>
      <c r="P220" s="50">
        <v>0</v>
      </c>
      <c r="Q220" s="52">
        <f>tablet[[#This Row],[qtySaldoAkhir2025]]*tablet[[#This Row],[hargaSatuan]]</f>
        <v>0</v>
      </c>
      <c r="S220" s="32">
        <f t="shared" si="6"/>
        <v>0</v>
      </c>
      <c r="T220" s="32">
        <f t="shared" si="7"/>
        <v>0</v>
      </c>
    </row>
    <row r="221" spans="1:59" ht="14.4" x14ac:dyDescent="0.3">
      <c r="A221" s="44">
        <v>212</v>
      </c>
      <c r="B221" s="45" t="s">
        <v>326</v>
      </c>
      <c r="C221" s="46" t="s">
        <v>52</v>
      </c>
      <c r="D221" s="47" t="s">
        <v>327</v>
      </c>
      <c r="E221" s="48">
        <v>46661</v>
      </c>
      <c r="F221" s="49">
        <v>813</v>
      </c>
      <c r="G221" s="45" t="s">
        <v>43</v>
      </c>
      <c r="H221" s="50">
        <v>20000</v>
      </c>
      <c r="I221" s="49">
        <f>tablet[[#This Row],[qtySaldoAwalSem1]]*tablet[[#This Row],[hargaSatuan]]</f>
        <v>16260000</v>
      </c>
      <c r="J221" s="50">
        <v>0</v>
      </c>
      <c r="K221" s="51">
        <f>tablet[[#This Row],[qtyTerima2025]]*tablet[[#This Row],[hargaSatuan]]</f>
        <v>0</v>
      </c>
      <c r="L221" s="50">
        <v>20000</v>
      </c>
      <c r="M221" s="51">
        <f>tablet[[#This Row],[qtyDist2025]]*tablet[[#This Row],[hargaSatuan]]</f>
        <v>16260000</v>
      </c>
      <c r="N221" s="50">
        <v>0</v>
      </c>
      <c r="O221" s="51">
        <f>tablet[[#This Row],[qtyEd2025]]*tablet[[#This Row],[hargaSatuan]]</f>
        <v>0</v>
      </c>
      <c r="P221" s="50">
        <v>0</v>
      </c>
      <c r="Q221" s="52">
        <f>tablet[[#This Row],[qtySaldoAkhir2025]]*tablet[[#This Row],[hargaSatuan]]</f>
        <v>0</v>
      </c>
      <c r="S221" s="32">
        <f t="shared" si="6"/>
        <v>0</v>
      </c>
      <c r="T221" s="32">
        <f t="shared" si="7"/>
        <v>0</v>
      </c>
    </row>
    <row r="222" spans="1:59" ht="14.4" x14ac:dyDescent="0.3">
      <c r="A222" s="44">
        <v>213</v>
      </c>
      <c r="B222" s="45" t="s">
        <v>326</v>
      </c>
      <c r="C222" s="46" t="s">
        <v>52</v>
      </c>
      <c r="D222" s="47" t="s">
        <v>328</v>
      </c>
      <c r="E222" s="48">
        <v>46692</v>
      </c>
      <c r="F222" s="49">
        <v>813</v>
      </c>
      <c r="G222" s="45" t="s">
        <v>43</v>
      </c>
      <c r="H222" s="50">
        <v>101100</v>
      </c>
      <c r="I222" s="49">
        <f>tablet[[#This Row],[qtySaldoAwalSem1]]*tablet[[#This Row],[hargaSatuan]]</f>
        <v>82194300</v>
      </c>
      <c r="J222" s="50">
        <v>0</v>
      </c>
      <c r="K222" s="51">
        <f>tablet[[#This Row],[qtyTerima2025]]*tablet[[#This Row],[hargaSatuan]]</f>
        <v>0</v>
      </c>
      <c r="L222" s="50">
        <v>78300</v>
      </c>
      <c r="M222" s="51">
        <f>tablet[[#This Row],[qtyDist2025]]*tablet[[#This Row],[hargaSatuan]]</f>
        <v>63657900</v>
      </c>
      <c r="N222" s="50">
        <v>0</v>
      </c>
      <c r="O222" s="51">
        <f>tablet[[#This Row],[qtyEd2025]]*tablet[[#This Row],[hargaSatuan]]</f>
        <v>0</v>
      </c>
      <c r="P222" s="50">
        <v>22800</v>
      </c>
      <c r="Q222" s="52">
        <f>tablet[[#This Row],[qtySaldoAkhir2025]]*tablet[[#This Row],[hargaSatuan]]</f>
        <v>18536400</v>
      </c>
      <c r="S222" s="32">
        <f t="shared" si="6"/>
        <v>18536400</v>
      </c>
      <c r="T222" s="32">
        <f t="shared" si="7"/>
        <v>0</v>
      </c>
    </row>
    <row r="223" spans="1:59" ht="14.4" x14ac:dyDescent="0.3">
      <c r="A223" s="44">
        <v>214</v>
      </c>
      <c r="B223" s="45" t="s">
        <v>326</v>
      </c>
      <c r="C223" s="46" t="s">
        <v>52</v>
      </c>
      <c r="D223" s="47">
        <v>40125</v>
      </c>
      <c r="E223" s="48">
        <v>46874</v>
      </c>
      <c r="F223" s="49">
        <v>873</v>
      </c>
      <c r="G223" s="45" t="s">
        <v>54</v>
      </c>
      <c r="H223" s="50">
        <v>30000</v>
      </c>
      <c r="I223" s="49">
        <f>tablet[[#This Row],[qtySaldoAwalSem1]]*tablet[[#This Row],[hargaSatuan]]</f>
        <v>26190000</v>
      </c>
      <c r="J223" s="50">
        <v>0</v>
      </c>
      <c r="K223" s="51">
        <f>tablet[[#This Row],[qtyTerima2025]]*tablet[[#This Row],[hargaSatuan]]</f>
        <v>0</v>
      </c>
      <c r="L223" s="50">
        <v>0</v>
      </c>
      <c r="M223" s="51">
        <f>tablet[[#This Row],[qtyDist2025]]*tablet[[#This Row],[hargaSatuan]]</f>
        <v>0</v>
      </c>
      <c r="N223" s="50">
        <v>0</v>
      </c>
      <c r="O223" s="51">
        <f>tablet[[#This Row],[qtyEd2025]]*tablet[[#This Row],[hargaSatuan]]</f>
        <v>0</v>
      </c>
      <c r="P223" s="50">
        <v>30000</v>
      </c>
      <c r="Q223" s="52">
        <f>tablet[[#This Row],[qtySaldoAkhir2025]]*tablet[[#This Row],[hargaSatuan]]</f>
        <v>26190000</v>
      </c>
      <c r="S223" s="32">
        <f t="shared" si="6"/>
        <v>26190000</v>
      </c>
      <c r="T223" s="32">
        <f t="shared" si="7"/>
        <v>0</v>
      </c>
    </row>
    <row r="224" spans="1:59" ht="14.4" x14ac:dyDescent="0.3">
      <c r="A224" s="44">
        <v>215</v>
      </c>
      <c r="B224" s="45" t="s">
        <v>329</v>
      </c>
      <c r="C224" s="46" t="s">
        <v>47</v>
      </c>
      <c r="D224" s="47" t="s">
        <v>330</v>
      </c>
      <c r="E224" s="48">
        <v>46538</v>
      </c>
      <c r="F224" s="49">
        <v>84</v>
      </c>
      <c r="G224" s="45" t="s">
        <v>18</v>
      </c>
      <c r="H224" s="50">
        <v>0</v>
      </c>
      <c r="I224" s="49">
        <f>tablet[[#This Row],[qtySaldoAwalSem1]]*tablet[[#This Row],[hargaSatuan]]</f>
        <v>0</v>
      </c>
      <c r="J224" s="50">
        <v>100000</v>
      </c>
      <c r="K224" s="51">
        <f>tablet[[#This Row],[qtyTerima2025]]*tablet[[#This Row],[hargaSatuan]]</f>
        <v>8400000</v>
      </c>
      <c r="L224" s="50">
        <v>74200</v>
      </c>
      <c r="M224" s="51">
        <f>tablet[[#This Row],[qtyDist2025]]*tablet[[#This Row],[hargaSatuan]]</f>
        <v>6232800</v>
      </c>
      <c r="N224" s="50">
        <v>0</v>
      </c>
      <c r="O224" s="51">
        <f>tablet[[#This Row],[qtyEd2025]]*tablet[[#This Row],[hargaSatuan]]</f>
        <v>0</v>
      </c>
      <c r="P224" s="50">
        <v>25800</v>
      </c>
      <c r="Q224" s="52">
        <f>tablet[[#This Row],[qtySaldoAkhir2025]]*tablet[[#This Row],[hargaSatuan]]</f>
        <v>2167200</v>
      </c>
      <c r="S224" s="32">
        <f t="shared" si="6"/>
        <v>2167200</v>
      </c>
      <c r="T224" s="32">
        <f t="shared" si="7"/>
        <v>0</v>
      </c>
    </row>
    <row r="225" spans="1:20" ht="14.4" x14ac:dyDescent="0.3">
      <c r="A225" s="44">
        <v>216</v>
      </c>
      <c r="B225" s="45" t="s">
        <v>331</v>
      </c>
      <c r="C225" s="46" t="s">
        <v>52</v>
      </c>
      <c r="D225" s="47" t="s">
        <v>332</v>
      </c>
      <c r="E225" s="48">
        <v>45839</v>
      </c>
      <c r="F225" s="49">
        <v>110</v>
      </c>
      <c r="G225" s="45" t="s">
        <v>43</v>
      </c>
      <c r="H225" s="50">
        <v>80900</v>
      </c>
      <c r="I225" s="49">
        <f>tablet[[#This Row],[qtySaldoAwalSem1]]*tablet[[#This Row],[hargaSatuan]]</f>
        <v>8899000</v>
      </c>
      <c r="J225" s="50">
        <v>0</v>
      </c>
      <c r="K225" s="51">
        <f>tablet[[#This Row],[qtyTerima2025]]*tablet[[#This Row],[hargaSatuan]]</f>
        <v>0</v>
      </c>
      <c r="L225" s="50">
        <v>34700</v>
      </c>
      <c r="M225" s="51">
        <f>tablet[[#This Row],[qtyDist2025]]*tablet[[#This Row],[hargaSatuan]]</f>
        <v>3817000</v>
      </c>
      <c r="N225" s="50">
        <v>46200</v>
      </c>
      <c r="O225" s="51">
        <f>tablet[[#This Row],[qtyEd2025]]*tablet[[#This Row],[hargaSatuan]]</f>
        <v>5082000</v>
      </c>
      <c r="P225" s="50">
        <v>0</v>
      </c>
      <c r="Q225" s="52">
        <f>tablet[[#This Row],[qtySaldoAkhir2025]]*tablet[[#This Row],[hargaSatuan]]</f>
        <v>0</v>
      </c>
      <c r="S225" s="32">
        <f t="shared" si="6"/>
        <v>0</v>
      </c>
      <c r="T225" s="32">
        <f t="shared" si="7"/>
        <v>0</v>
      </c>
    </row>
    <row r="226" spans="1:20" ht="14.4" x14ac:dyDescent="0.3">
      <c r="A226" s="44">
        <v>217</v>
      </c>
      <c r="B226" s="45" t="s">
        <v>331</v>
      </c>
      <c r="C226" s="46" t="s">
        <v>52</v>
      </c>
      <c r="D226" s="47" t="s">
        <v>333</v>
      </c>
      <c r="E226" s="48">
        <v>45992</v>
      </c>
      <c r="F226" s="49">
        <v>131</v>
      </c>
      <c r="G226" s="45" t="s">
        <v>54</v>
      </c>
      <c r="H226" s="50">
        <v>20000</v>
      </c>
      <c r="I226" s="49">
        <f>tablet[[#This Row],[qtySaldoAwalSem1]]*tablet[[#This Row],[hargaSatuan]]</f>
        <v>2620000</v>
      </c>
      <c r="J226" s="50">
        <v>0</v>
      </c>
      <c r="K226" s="51">
        <f>tablet[[#This Row],[qtyTerima2025]]*tablet[[#This Row],[hargaSatuan]]</f>
        <v>0</v>
      </c>
      <c r="L226" s="50">
        <v>20000</v>
      </c>
      <c r="M226" s="51">
        <f>tablet[[#This Row],[qtyDist2025]]*tablet[[#This Row],[hargaSatuan]]</f>
        <v>2620000</v>
      </c>
      <c r="N226" s="50">
        <v>0</v>
      </c>
      <c r="O226" s="51">
        <f>tablet[[#This Row],[qtyEd2025]]*tablet[[#This Row],[hargaSatuan]]</f>
        <v>0</v>
      </c>
      <c r="P226" s="50">
        <v>0</v>
      </c>
      <c r="Q226" s="52">
        <f>tablet[[#This Row],[qtySaldoAkhir2025]]*tablet[[#This Row],[hargaSatuan]]</f>
        <v>0</v>
      </c>
      <c r="S226" s="32">
        <f t="shared" si="6"/>
        <v>0</v>
      </c>
      <c r="T226" s="32">
        <f t="shared" si="7"/>
        <v>0</v>
      </c>
    </row>
    <row r="227" spans="1:20" ht="14.4" x14ac:dyDescent="0.3">
      <c r="A227" s="44">
        <v>218</v>
      </c>
      <c r="B227" s="45" t="s">
        <v>331</v>
      </c>
      <c r="C227" s="46" t="s">
        <v>52</v>
      </c>
      <c r="D227" s="47" t="s">
        <v>334</v>
      </c>
      <c r="E227" s="48">
        <v>46538</v>
      </c>
      <c r="F227" s="49">
        <v>108</v>
      </c>
      <c r="G227" s="45" t="s">
        <v>18</v>
      </c>
      <c r="H227" s="50">
        <v>0</v>
      </c>
      <c r="I227" s="49">
        <f>tablet[[#This Row],[qtySaldoAwalSem1]]*tablet[[#This Row],[hargaSatuan]]</f>
        <v>0</v>
      </c>
      <c r="J227" s="50">
        <v>12100</v>
      </c>
      <c r="K227" s="51">
        <f>tablet[[#This Row],[qtyTerima2025]]*tablet[[#This Row],[hargaSatuan]]</f>
        <v>1306800</v>
      </c>
      <c r="L227" s="50">
        <v>12100</v>
      </c>
      <c r="M227" s="51">
        <f>tablet[[#This Row],[qtyDist2025]]*tablet[[#This Row],[hargaSatuan]]</f>
        <v>1306800</v>
      </c>
      <c r="N227" s="50">
        <v>0</v>
      </c>
      <c r="O227" s="51">
        <f>tablet[[#This Row],[qtyEd2025]]*tablet[[#This Row],[hargaSatuan]]</f>
        <v>0</v>
      </c>
      <c r="P227" s="50">
        <v>0</v>
      </c>
      <c r="Q227" s="52">
        <f>tablet[[#This Row],[qtySaldoAkhir2025]]*tablet[[#This Row],[hargaSatuan]]</f>
        <v>0</v>
      </c>
      <c r="S227" s="32">
        <f t="shared" si="6"/>
        <v>0</v>
      </c>
      <c r="T227" s="32">
        <f t="shared" si="7"/>
        <v>0</v>
      </c>
    </row>
    <row r="228" spans="1:20" ht="14.4" x14ac:dyDescent="0.3">
      <c r="A228" s="44">
        <v>219</v>
      </c>
      <c r="B228" s="45" t="s">
        <v>331</v>
      </c>
      <c r="C228" s="46" t="s">
        <v>52</v>
      </c>
      <c r="D228" s="47" t="s">
        <v>335</v>
      </c>
      <c r="E228" s="48">
        <v>46538</v>
      </c>
      <c r="F228" s="49">
        <v>108</v>
      </c>
      <c r="G228" s="45" t="s">
        <v>18</v>
      </c>
      <c r="H228" s="50">
        <v>0</v>
      </c>
      <c r="I228" s="49">
        <f>tablet[[#This Row],[qtySaldoAwalSem1]]*tablet[[#This Row],[hargaSatuan]]</f>
        <v>0</v>
      </c>
      <c r="J228" s="50">
        <v>37900</v>
      </c>
      <c r="K228" s="51">
        <f>tablet[[#This Row],[qtyTerima2025]]*tablet[[#This Row],[hargaSatuan]]</f>
        <v>4093200</v>
      </c>
      <c r="L228" s="50">
        <v>400</v>
      </c>
      <c r="M228" s="51">
        <f>tablet[[#This Row],[qtyDist2025]]*tablet[[#This Row],[hargaSatuan]]</f>
        <v>43200</v>
      </c>
      <c r="N228" s="50">
        <v>0</v>
      </c>
      <c r="O228" s="51">
        <f>tablet[[#This Row],[qtyEd2025]]*tablet[[#This Row],[hargaSatuan]]</f>
        <v>0</v>
      </c>
      <c r="P228" s="50">
        <v>37500</v>
      </c>
      <c r="Q228" s="52">
        <f>tablet[[#This Row],[qtySaldoAkhir2025]]*tablet[[#This Row],[hargaSatuan]]</f>
        <v>4050000</v>
      </c>
      <c r="S228" s="32">
        <f t="shared" si="6"/>
        <v>4050000</v>
      </c>
      <c r="T228" s="32">
        <f t="shared" si="7"/>
        <v>0</v>
      </c>
    </row>
    <row r="229" spans="1:20" ht="14.4" x14ac:dyDescent="0.3">
      <c r="A229" s="44">
        <v>220</v>
      </c>
      <c r="B229" s="45" t="s">
        <v>336</v>
      </c>
      <c r="C229" s="46" t="s">
        <v>52</v>
      </c>
      <c r="D229" s="47" t="s">
        <v>337</v>
      </c>
      <c r="E229" s="48">
        <v>45839</v>
      </c>
      <c r="F229" s="49">
        <v>173</v>
      </c>
      <c r="G229" s="45" t="s">
        <v>43</v>
      </c>
      <c r="H229" s="50">
        <v>79400</v>
      </c>
      <c r="I229" s="49">
        <f>tablet[[#This Row],[qtySaldoAwalSem1]]*tablet[[#This Row],[hargaSatuan]]</f>
        <v>13736200</v>
      </c>
      <c r="J229" s="50">
        <v>0</v>
      </c>
      <c r="K229" s="51">
        <f>tablet[[#This Row],[qtyTerima2025]]*tablet[[#This Row],[hargaSatuan]]</f>
        <v>0</v>
      </c>
      <c r="L229" s="50">
        <v>24000</v>
      </c>
      <c r="M229" s="51">
        <f>tablet[[#This Row],[qtyDist2025]]*tablet[[#This Row],[hargaSatuan]]</f>
        <v>4152000</v>
      </c>
      <c r="N229" s="50">
        <v>55400</v>
      </c>
      <c r="O229" s="51">
        <f>tablet[[#This Row],[qtyEd2025]]*tablet[[#This Row],[hargaSatuan]]</f>
        <v>9584200</v>
      </c>
      <c r="P229" s="50">
        <v>0</v>
      </c>
      <c r="Q229" s="52">
        <f>tablet[[#This Row],[qtySaldoAkhir2025]]*tablet[[#This Row],[hargaSatuan]]</f>
        <v>0</v>
      </c>
      <c r="S229" s="32">
        <f t="shared" si="6"/>
        <v>0</v>
      </c>
      <c r="T229" s="32">
        <f t="shared" si="7"/>
        <v>0</v>
      </c>
    </row>
    <row r="230" spans="1:20" ht="14.4" x14ac:dyDescent="0.3">
      <c r="A230" s="44">
        <v>221</v>
      </c>
      <c r="B230" s="45" t="s">
        <v>336</v>
      </c>
      <c r="C230" s="46" t="s">
        <v>52</v>
      </c>
      <c r="D230" s="47" t="s">
        <v>338</v>
      </c>
      <c r="E230" s="48">
        <v>45901</v>
      </c>
      <c r="F230" s="49">
        <v>209</v>
      </c>
      <c r="G230" s="45" t="s">
        <v>54</v>
      </c>
      <c r="H230" s="50">
        <v>10000</v>
      </c>
      <c r="I230" s="49">
        <f>tablet[[#This Row],[qtySaldoAwalSem1]]*tablet[[#This Row],[hargaSatuan]]</f>
        <v>2090000</v>
      </c>
      <c r="J230" s="50">
        <v>0</v>
      </c>
      <c r="K230" s="51">
        <f>tablet[[#This Row],[qtyTerima2025]]*tablet[[#This Row],[hargaSatuan]]</f>
        <v>0</v>
      </c>
      <c r="L230" s="50">
        <v>10000</v>
      </c>
      <c r="M230" s="51">
        <f>tablet[[#This Row],[qtyDist2025]]*tablet[[#This Row],[hargaSatuan]]</f>
        <v>2090000</v>
      </c>
      <c r="N230" s="50">
        <v>0</v>
      </c>
      <c r="O230" s="51">
        <f>tablet[[#This Row],[qtyEd2025]]*tablet[[#This Row],[hargaSatuan]]</f>
        <v>0</v>
      </c>
      <c r="P230" s="50">
        <v>0</v>
      </c>
      <c r="Q230" s="52">
        <f>tablet[[#This Row],[qtySaldoAkhir2025]]*tablet[[#This Row],[hargaSatuan]]</f>
        <v>0</v>
      </c>
      <c r="S230" s="32">
        <f t="shared" si="6"/>
        <v>0</v>
      </c>
      <c r="T230" s="32">
        <f t="shared" si="7"/>
        <v>0</v>
      </c>
    </row>
    <row r="231" spans="1:20" ht="14.4" x14ac:dyDescent="0.3">
      <c r="A231" s="44">
        <v>222</v>
      </c>
      <c r="B231" s="45" t="s">
        <v>336</v>
      </c>
      <c r="C231" s="46" t="s">
        <v>52</v>
      </c>
      <c r="D231" s="47" t="s">
        <v>339</v>
      </c>
      <c r="E231" s="48">
        <v>46023</v>
      </c>
      <c r="F231" s="49">
        <v>209</v>
      </c>
      <c r="G231" s="45" t="s">
        <v>54</v>
      </c>
      <c r="H231" s="50">
        <v>148600</v>
      </c>
      <c r="I231" s="49">
        <f>tablet[[#This Row],[qtySaldoAwalSem1]]*tablet[[#This Row],[hargaSatuan]]</f>
        <v>31057400</v>
      </c>
      <c r="J231" s="50">
        <v>0</v>
      </c>
      <c r="K231" s="51">
        <f>tablet[[#This Row],[qtyTerima2025]]*tablet[[#This Row],[hargaSatuan]]</f>
        <v>0</v>
      </c>
      <c r="L231" s="50">
        <v>58300</v>
      </c>
      <c r="M231" s="51">
        <f>tablet[[#This Row],[qtyDist2025]]*tablet[[#This Row],[hargaSatuan]]</f>
        <v>12184700</v>
      </c>
      <c r="N231" s="50">
        <v>0</v>
      </c>
      <c r="O231" s="51">
        <f>tablet[[#This Row],[qtyEd2025]]*tablet[[#This Row],[hargaSatuan]]</f>
        <v>0</v>
      </c>
      <c r="P231" s="50">
        <v>90300</v>
      </c>
      <c r="Q231" s="52">
        <f>tablet[[#This Row],[qtySaldoAkhir2025]]*tablet[[#This Row],[hargaSatuan]]</f>
        <v>18872700</v>
      </c>
      <c r="S231" s="32">
        <f t="shared" si="6"/>
        <v>18872700</v>
      </c>
      <c r="T231" s="32">
        <f t="shared" si="7"/>
        <v>0</v>
      </c>
    </row>
    <row r="232" spans="1:20" ht="14.4" x14ac:dyDescent="0.3">
      <c r="A232" s="44">
        <v>223</v>
      </c>
      <c r="B232" s="45" t="s">
        <v>336</v>
      </c>
      <c r="C232" s="46" t="s">
        <v>52</v>
      </c>
      <c r="D232" s="47" t="s">
        <v>340</v>
      </c>
      <c r="E232" s="48">
        <v>46508</v>
      </c>
      <c r="F232" s="49">
        <v>200</v>
      </c>
      <c r="G232" s="45" t="s">
        <v>18</v>
      </c>
      <c r="H232" s="50">
        <v>0</v>
      </c>
      <c r="I232" s="49">
        <f>tablet[[#This Row],[qtySaldoAwalSem1]]*tablet[[#This Row],[hargaSatuan]]</f>
        <v>0</v>
      </c>
      <c r="J232" s="50">
        <v>61000</v>
      </c>
      <c r="K232" s="51">
        <f>tablet[[#This Row],[qtyTerima2025]]*tablet[[#This Row],[hargaSatuan]]</f>
        <v>12200000</v>
      </c>
      <c r="L232" s="50">
        <v>0</v>
      </c>
      <c r="M232" s="51">
        <f>tablet[[#This Row],[qtyDist2025]]*tablet[[#This Row],[hargaSatuan]]</f>
        <v>0</v>
      </c>
      <c r="N232" s="50">
        <v>0</v>
      </c>
      <c r="O232" s="51">
        <f>tablet[[#This Row],[qtyEd2025]]*tablet[[#This Row],[hargaSatuan]]</f>
        <v>0</v>
      </c>
      <c r="P232" s="50">
        <v>61000</v>
      </c>
      <c r="Q232" s="52">
        <f>tablet[[#This Row],[qtySaldoAkhir2025]]*tablet[[#This Row],[hargaSatuan]]</f>
        <v>12200000</v>
      </c>
      <c r="S232" s="32">
        <f t="shared" si="6"/>
        <v>12200000</v>
      </c>
      <c r="T232" s="32">
        <f t="shared" si="7"/>
        <v>0</v>
      </c>
    </row>
    <row r="233" spans="1:20" ht="14.4" x14ac:dyDescent="0.3">
      <c r="A233" s="44">
        <v>224</v>
      </c>
      <c r="B233" s="45" t="s">
        <v>336</v>
      </c>
      <c r="C233" s="46" t="s">
        <v>52</v>
      </c>
      <c r="D233" s="47" t="s">
        <v>341</v>
      </c>
      <c r="E233" s="48">
        <v>46568</v>
      </c>
      <c r="F233" s="49">
        <v>199.8</v>
      </c>
      <c r="G233" s="45" t="s">
        <v>18</v>
      </c>
      <c r="H233" s="50">
        <v>0</v>
      </c>
      <c r="I233" s="49">
        <f>tablet[[#This Row],[qtySaldoAwalSem1]]*tablet[[#This Row],[hargaSatuan]]</f>
        <v>0</v>
      </c>
      <c r="J233" s="50">
        <v>40000</v>
      </c>
      <c r="K233" s="51">
        <f>tablet[[#This Row],[qtyTerima2025]]*tablet[[#This Row],[hargaSatuan]]</f>
        <v>7992000</v>
      </c>
      <c r="L233" s="50">
        <v>0</v>
      </c>
      <c r="M233" s="51">
        <f>tablet[[#This Row],[qtyDist2025]]*tablet[[#This Row],[hargaSatuan]]</f>
        <v>0</v>
      </c>
      <c r="N233" s="50">
        <v>0</v>
      </c>
      <c r="O233" s="51">
        <f>tablet[[#This Row],[qtyEd2025]]*tablet[[#This Row],[hargaSatuan]]</f>
        <v>0</v>
      </c>
      <c r="P233" s="50">
        <v>40000</v>
      </c>
      <c r="Q233" s="52">
        <f>tablet[[#This Row],[qtySaldoAkhir2025]]*tablet[[#This Row],[hargaSatuan]]</f>
        <v>7992000</v>
      </c>
      <c r="S233" s="32">
        <f t="shared" si="6"/>
        <v>7992000</v>
      </c>
      <c r="T233" s="32">
        <f t="shared" si="7"/>
        <v>0</v>
      </c>
    </row>
    <row r="234" spans="1:20" ht="14.4" x14ac:dyDescent="0.3">
      <c r="A234" s="44"/>
      <c r="B234" s="45" t="s">
        <v>336</v>
      </c>
      <c r="C234" s="46" t="s">
        <v>342</v>
      </c>
      <c r="D234" s="47" t="s">
        <v>343</v>
      </c>
      <c r="E234" s="48">
        <v>46291</v>
      </c>
      <c r="F234" s="49">
        <v>165</v>
      </c>
      <c r="G234" s="45" t="s">
        <v>54</v>
      </c>
      <c r="H234" s="50">
        <v>0</v>
      </c>
      <c r="I234" s="49">
        <f>tablet[[#This Row],[qtySaldoAwalSem1]]*tablet[[#This Row],[hargaSatuan]]</f>
        <v>0</v>
      </c>
      <c r="J234" s="50">
        <v>35700</v>
      </c>
      <c r="K234" s="51">
        <f>tablet[[#This Row],[qtyTerima2025]]*tablet[[#This Row],[hargaSatuan]]</f>
        <v>5890500</v>
      </c>
      <c r="L234" s="50">
        <v>0</v>
      </c>
      <c r="M234" s="51">
        <f>tablet[[#This Row],[qtyDist2025]]*tablet[[#This Row],[hargaSatuan]]</f>
        <v>0</v>
      </c>
      <c r="N234" s="50">
        <v>0</v>
      </c>
      <c r="O234" s="51">
        <f>tablet[[#This Row],[qtyEd2025]]*tablet[[#This Row],[hargaSatuan]]</f>
        <v>0</v>
      </c>
      <c r="P234" s="50">
        <v>35700</v>
      </c>
      <c r="Q234" s="52">
        <f>tablet[[#This Row],[qtySaldoAkhir2025]]*tablet[[#This Row],[hargaSatuan]]</f>
        <v>5890500</v>
      </c>
      <c r="S234" s="32">
        <f t="shared" si="6"/>
        <v>5890500</v>
      </c>
      <c r="T234" s="32">
        <f t="shared" si="7"/>
        <v>0</v>
      </c>
    </row>
    <row r="235" spans="1:20" ht="14.4" x14ac:dyDescent="0.3">
      <c r="A235" s="44">
        <v>225</v>
      </c>
      <c r="B235" s="45" t="s">
        <v>344</v>
      </c>
      <c r="C235" s="46" t="s">
        <v>52</v>
      </c>
      <c r="D235" s="47">
        <v>56818380</v>
      </c>
      <c r="E235" s="48">
        <v>45809</v>
      </c>
      <c r="F235" s="49">
        <v>260</v>
      </c>
      <c r="G235" s="45" t="s">
        <v>40</v>
      </c>
      <c r="H235" s="50">
        <v>200</v>
      </c>
      <c r="I235" s="49">
        <f>tablet[[#This Row],[qtySaldoAwalSem1]]*tablet[[#This Row],[hargaSatuan]]</f>
        <v>52000</v>
      </c>
      <c r="J235" s="50">
        <v>0</v>
      </c>
      <c r="K235" s="51">
        <f>tablet[[#This Row],[qtyTerima2025]]*tablet[[#This Row],[hargaSatuan]]</f>
        <v>0</v>
      </c>
      <c r="L235" s="50">
        <v>200</v>
      </c>
      <c r="M235" s="51">
        <f>tablet[[#This Row],[qtyDist2025]]*tablet[[#This Row],[hargaSatuan]]</f>
        <v>52000</v>
      </c>
      <c r="N235" s="50">
        <v>0</v>
      </c>
      <c r="O235" s="51">
        <f>tablet[[#This Row],[qtyEd2025]]*tablet[[#This Row],[hargaSatuan]]</f>
        <v>0</v>
      </c>
      <c r="P235" s="50">
        <v>0</v>
      </c>
      <c r="Q235" s="52">
        <f>tablet[[#This Row],[qtySaldoAkhir2025]]*tablet[[#This Row],[hargaSatuan]]</f>
        <v>0</v>
      </c>
      <c r="S235" s="32">
        <f t="shared" si="6"/>
        <v>0</v>
      </c>
      <c r="T235" s="32">
        <f t="shared" si="7"/>
        <v>0</v>
      </c>
    </row>
    <row r="236" spans="1:20" ht="14.4" x14ac:dyDescent="0.3">
      <c r="A236" s="44">
        <v>226</v>
      </c>
      <c r="B236" s="45" t="s">
        <v>344</v>
      </c>
      <c r="C236" s="46" t="s">
        <v>52</v>
      </c>
      <c r="D236" s="47" t="s">
        <v>345</v>
      </c>
      <c r="E236" s="48">
        <v>46113</v>
      </c>
      <c r="F236" s="49">
        <v>226</v>
      </c>
      <c r="G236" s="45" t="s">
        <v>40</v>
      </c>
      <c r="H236" s="50">
        <v>392000</v>
      </c>
      <c r="I236" s="49">
        <f>tablet[[#This Row],[qtySaldoAwalSem1]]*tablet[[#This Row],[hargaSatuan]]</f>
        <v>88592000</v>
      </c>
      <c r="J236" s="50">
        <v>0</v>
      </c>
      <c r="K236" s="51">
        <f>tablet[[#This Row],[qtyTerima2025]]*tablet[[#This Row],[hargaSatuan]]</f>
        <v>0</v>
      </c>
      <c r="L236" s="50">
        <v>392000</v>
      </c>
      <c r="M236" s="51">
        <f>tablet[[#This Row],[qtyDist2025]]*tablet[[#This Row],[hargaSatuan]]</f>
        <v>88592000</v>
      </c>
      <c r="N236" s="50">
        <v>0</v>
      </c>
      <c r="O236" s="51">
        <f>tablet[[#This Row],[qtyEd2025]]*tablet[[#This Row],[hargaSatuan]]</f>
        <v>0</v>
      </c>
      <c r="P236" s="50">
        <v>0</v>
      </c>
      <c r="Q236" s="52">
        <f>tablet[[#This Row],[qtySaldoAkhir2025]]*tablet[[#This Row],[hargaSatuan]]</f>
        <v>0</v>
      </c>
      <c r="S236" s="32">
        <f t="shared" si="6"/>
        <v>0</v>
      </c>
      <c r="T236" s="32">
        <f t="shared" si="7"/>
        <v>0</v>
      </c>
    </row>
    <row r="237" spans="1:20" ht="14.4" x14ac:dyDescent="0.3">
      <c r="A237" s="44">
        <v>227</v>
      </c>
      <c r="B237" s="45" t="s">
        <v>344</v>
      </c>
      <c r="C237" s="46" t="s">
        <v>52</v>
      </c>
      <c r="D237" s="47" t="s">
        <v>346</v>
      </c>
      <c r="E237" s="48">
        <v>46143</v>
      </c>
      <c r="F237" s="49">
        <v>226</v>
      </c>
      <c r="G237" s="45" t="s">
        <v>40</v>
      </c>
      <c r="H237" s="50">
        <v>400000</v>
      </c>
      <c r="I237" s="49">
        <f>tablet[[#This Row],[qtySaldoAwalSem1]]*tablet[[#This Row],[hargaSatuan]]</f>
        <v>90400000</v>
      </c>
      <c r="J237" s="50">
        <v>0</v>
      </c>
      <c r="K237" s="51">
        <f>tablet[[#This Row],[qtyTerima2025]]*tablet[[#This Row],[hargaSatuan]]</f>
        <v>0</v>
      </c>
      <c r="L237" s="50">
        <v>337400</v>
      </c>
      <c r="M237" s="51">
        <f>tablet[[#This Row],[qtyDist2025]]*tablet[[#This Row],[hargaSatuan]]</f>
        <v>76252400</v>
      </c>
      <c r="N237" s="50">
        <v>0</v>
      </c>
      <c r="O237" s="51">
        <f>tablet[[#This Row],[qtyEd2025]]*tablet[[#This Row],[hargaSatuan]]</f>
        <v>0</v>
      </c>
      <c r="P237" s="50">
        <v>62600</v>
      </c>
      <c r="Q237" s="52">
        <f>tablet[[#This Row],[qtySaldoAkhir2025]]*tablet[[#This Row],[hargaSatuan]]</f>
        <v>14147600</v>
      </c>
      <c r="S237" s="32">
        <f t="shared" si="6"/>
        <v>14147600</v>
      </c>
      <c r="T237" s="32">
        <f t="shared" si="7"/>
        <v>0</v>
      </c>
    </row>
    <row r="238" spans="1:20" ht="14.4" x14ac:dyDescent="0.3">
      <c r="A238" s="44">
        <v>228</v>
      </c>
      <c r="B238" s="45" t="s">
        <v>347</v>
      </c>
      <c r="C238" s="46" t="s">
        <v>52</v>
      </c>
      <c r="D238" s="47" t="s">
        <v>348</v>
      </c>
      <c r="E238" s="48">
        <v>46569</v>
      </c>
      <c r="F238" s="49">
        <v>2328</v>
      </c>
      <c r="G238" s="45" t="s">
        <v>40</v>
      </c>
      <c r="H238" s="50">
        <v>1200</v>
      </c>
      <c r="I238" s="49">
        <f>tablet[[#This Row],[qtySaldoAwalSem1]]*tablet[[#This Row],[hargaSatuan]]</f>
        <v>2793600</v>
      </c>
      <c r="J238" s="50">
        <v>0</v>
      </c>
      <c r="K238" s="51">
        <f>tablet[[#This Row],[qtyTerima2025]]*tablet[[#This Row],[hargaSatuan]]</f>
        <v>0</v>
      </c>
      <c r="L238" s="50">
        <v>450</v>
      </c>
      <c r="M238" s="51">
        <f>tablet[[#This Row],[qtyDist2025]]*tablet[[#This Row],[hargaSatuan]]</f>
        <v>1047600</v>
      </c>
      <c r="N238" s="50">
        <v>0</v>
      </c>
      <c r="O238" s="51">
        <f>tablet[[#This Row],[qtyEd2025]]*tablet[[#This Row],[hargaSatuan]]</f>
        <v>0</v>
      </c>
      <c r="P238" s="50">
        <v>750</v>
      </c>
      <c r="Q238" s="52">
        <f>tablet[[#This Row],[qtySaldoAkhir2025]]*tablet[[#This Row],[hargaSatuan]]</f>
        <v>1746000</v>
      </c>
      <c r="S238" s="32">
        <f t="shared" si="6"/>
        <v>1746000</v>
      </c>
      <c r="T238" s="32">
        <f t="shared" si="7"/>
        <v>0</v>
      </c>
    </row>
    <row r="239" spans="1:20" ht="14.4" x14ac:dyDescent="0.3">
      <c r="A239" s="44">
        <v>229</v>
      </c>
      <c r="B239" s="45" t="s">
        <v>347</v>
      </c>
      <c r="C239" s="46" t="s">
        <v>349</v>
      </c>
      <c r="D239" s="47" t="s">
        <v>350</v>
      </c>
      <c r="E239" s="48">
        <v>46478</v>
      </c>
      <c r="F239" s="49">
        <v>73770</v>
      </c>
      <c r="G239" s="45" t="s">
        <v>40</v>
      </c>
      <c r="H239" s="50">
        <v>35</v>
      </c>
      <c r="I239" s="49">
        <f>tablet[[#This Row],[qtySaldoAwalSem1]]*tablet[[#This Row],[hargaSatuan]]</f>
        <v>2581950</v>
      </c>
      <c r="J239" s="50">
        <v>0</v>
      </c>
      <c r="K239" s="51">
        <f>tablet[[#This Row],[qtyTerima2025]]*tablet[[#This Row],[hargaSatuan]]</f>
        <v>0</v>
      </c>
      <c r="L239" s="50">
        <v>16</v>
      </c>
      <c r="M239" s="51">
        <f>tablet[[#This Row],[qtyDist2025]]*tablet[[#This Row],[hargaSatuan]]</f>
        <v>1180320</v>
      </c>
      <c r="N239" s="50">
        <v>0</v>
      </c>
      <c r="O239" s="51">
        <f>tablet[[#This Row],[qtyEd2025]]*tablet[[#This Row],[hargaSatuan]]</f>
        <v>0</v>
      </c>
      <c r="P239" s="50">
        <v>19</v>
      </c>
      <c r="Q239" s="52">
        <f>tablet[[#This Row],[qtySaldoAkhir2025]]*tablet[[#This Row],[hargaSatuan]]</f>
        <v>1401630</v>
      </c>
      <c r="S239" s="32">
        <f t="shared" si="6"/>
        <v>1401630</v>
      </c>
      <c r="T239" s="32">
        <f t="shared" si="7"/>
        <v>0</v>
      </c>
    </row>
    <row r="240" spans="1:20" ht="14.4" x14ac:dyDescent="0.3">
      <c r="A240" s="44">
        <v>230</v>
      </c>
      <c r="B240" s="45" t="s">
        <v>351</v>
      </c>
      <c r="C240" s="46" t="s">
        <v>349</v>
      </c>
      <c r="D240" s="47" t="s">
        <v>352</v>
      </c>
      <c r="E240" s="48">
        <v>46173</v>
      </c>
      <c r="F240" s="49">
        <v>100980</v>
      </c>
      <c r="G240" s="45" t="s">
        <v>40</v>
      </c>
      <c r="H240" s="50">
        <v>0</v>
      </c>
      <c r="I240" s="49">
        <f>tablet[[#This Row],[qtySaldoAwalSem1]]*tablet[[#This Row],[hargaSatuan]]</f>
        <v>0</v>
      </c>
      <c r="J240" s="50">
        <v>310</v>
      </c>
      <c r="K240" s="51">
        <f>tablet[[#This Row],[qtyTerima2025]]*tablet[[#This Row],[hargaSatuan]]</f>
        <v>31303800</v>
      </c>
      <c r="L240" s="50">
        <v>310</v>
      </c>
      <c r="M240" s="51">
        <f>tablet[[#This Row],[qtyDist2025]]*tablet[[#This Row],[hargaSatuan]]</f>
        <v>31303800</v>
      </c>
      <c r="N240" s="50">
        <v>0</v>
      </c>
      <c r="O240" s="51">
        <f>tablet[[#This Row],[qtyEd2025]]*tablet[[#This Row],[hargaSatuan]]</f>
        <v>0</v>
      </c>
      <c r="P240" s="50">
        <v>0</v>
      </c>
      <c r="Q240" s="52">
        <f>tablet[[#This Row],[qtySaldoAkhir2025]]*tablet[[#This Row],[hargaSatuan]]</f>
        <v>0</v>
      </c>
      <c r="S240" s="32">
        <f t="shared" si="6"/>
        <v>0</v>
      </c>
      <c r="T240" s="32">
        <f t="shared" si="7"/>
        <v>0</v>
      </c>
    </row>
    <row r="241" spans="1:20" ht="14.4" x14ac:dyDescent="0.3">
      <c r="A241" s="44">
        <v>231</v>
      </c>
      <c r="B241" s="45" t="s">
        <v>351</v>
      </c>
      <c r="C241" s="46" t="s">
        <v>349</v>
      </c>
      <c r="D241" s="47" t="s">
        <v>353</v>
      </c>
      <c r="E241" s="48">
        <v>46419</v>
      </c>
      <c r="F241" s="49">
        <v>108090</v>
      </c>
      <c r="G241" s="45" t="s">
        <v>40</v>
      </c>
      <c r="H241" s="50">
        <v>0</v>
      </c>
      <c r="I241" s="49">
        <f>tablet[[#This Row],[qtySaldoAwalSem1]]*tablet[[#This Row],[hargaSatuan]]</f>
        <v>0</v>
      </c>
      <c r="J241" s="50">
        <v>180</v>
      </c>
      <c r="K241" s="51">
        <f>tablet[[#This Row],[qtyTerima2025]]*tablet[[#This Row],[hargaSatuan]]</f>
        <v>19456200</v>
      </c>
      <c r="L241" s="50">
        <v>180</v>
      </c>
      <c r="M241" s="51">
        <f>tablet[[#This Row],[qtyDist2025]]*tablet[[#This Row],[hargaSatuan]]</f>
        <v>19456200</v>
      </c>
      <c r="N241" s="50">
        <v>0</v>
      </c>
      <c r="O241" s="51">
        <f>tablet[[#This Row],[qtyEd2025]]*tablet[[#This Row],[hargaSatuan]]</f>
        <v>0</v>
      </c>
      <c r="P241" s="50">
        <v>0</v>
      </c>
      <c r="Q241" s="52">
        <f>tablet[[#This Row],[qtySaldoAkhir2025]]*tablet[[#This Row],[hargaSatuan]]</f>
        <v>0</v>
      </c>
      <c r="S241" s="32">
        <f t="shared" si="6"/>
        <v>0</v>
      </c>
      <c r="T241" s="32">
        <f t="shared" si="7"/>
        <v>0</v>
      </c>
    </row>
    <row r="242" spans="1:20" ht="14.4" x14ac:dyDescent="0.3">
      <c r="A242" s="44">
        <v>232</v>
      </c>
      <c r="B242" s="45" t="s">
        <v>351</v>
      </c>
      <c r="C242" s="46" t="s">
        <v>349</v>
      </c>
      <c r="D242" s="47" t="s">
        <v>354</v>
      </c>
      <c r="E242" s="48">
        <v>46446</v>
      </c>
      <c r="F242" s="49">
        <v>108090</v>
      </c>
      <c r="G242" s="45" t="s">
        <v>40</v>
      </c>
      <c r="H242" s="50">
        <v>0</v>
      </c>
      <c r="I242" s="49">
        <f>tablet[[#This Row],[qtySaldoAwalSem1]]*tablet[[#This Row],[hargaSatuan]]</f>
        <v>0</v>
      </c>
      <c r="J242" s="50">
        <v>1830</v>
      </c>
      <c r="K242" s="51">
        <f>tablet[[#This Row],[qtyTerima2025]]*tablet[[#This Row],[hargaSatuan]]</f>
        <v>197804700</v>
      </c>
      <c r="L242" s="50">
        <v>481</v>
      </c>
      <c r="M242" s="51">
        <f>tablet[[#This Row],[qtyDist2025]]*tablet[[#This Row],[hargaSatuan]]</f>
        <v>51991290</v>
      </c>
      <c r="N242" s="50">
        <v>0</v>
      </c>
      <c r="O242" s="51">
        <f>tablet[[#This Row],[qtyEd2025]]*tablet[[#This Row],[hargaSatuan]]</f>
        <v>0</v>
      </c>
      <c r="P242" s="50">
        <v>1349</v>
      </c>
      <c r="Q242" s="52">
        <f>tablet[[#This Row],[qtySaldoAkhir2025]]*tablet[[#This Row],[hargaSatuan]]</f>
        <v>145813410</v>
      </c>
      <c r="S242" s="32">
        <f t="shared" si="6"/>
        <v>145813410</v>
      </c>
      <c r="T242" s="32">
        <f t="shared" si="7"/>
        <v>0</v>
      </c>
    </row>
    <row r="243" spans="1:20" ht="14.4" x14ac:dyDescent="0.3">
      <c r="A243" s="44">
        <v>233</v>
      </c>
      <c r="B243" s="45" t="s">
        <v>355</v>
      </c>
      <c r="C243" s="46" t="s">
        <v>349</v>
      </c>
      <c r="D243" s="47" t="s">
        <v>356</v>
      </c>
      <c r="E243" s="48">
        <v>46265</v>
      </c>
      <c r="F243" s="49">
        <v>109350</v>
      </c>
      <c r="G243" s="45" t="s">
        <v>40</v>
      </c>
      <c r="H243" s="50">
        <v>0</v>
      </c>
      <c r="I243" s="49">
        <f>tablet[[#This Row],[qtySaldoAwalSem1]]*tablet[[#This Row],[hargaSatuan]]</f>
        <v>0</v>
      </c>
      <c r="J243" s="50">
        <v>200</v>
      </c>
      <c r="K243" s="51">
        <f>tablet[[#This Row],[qtyTerima2025]]*tablet[[#This Row],[hargaSatuan]]</f>
        <v>21870000</v>
      </c>
      <c r="L243" s="50">
        <v>200</v>
      </c>
      <c r="M243" s="51">
        <f>tablet[[#This Row],[qtyDist2025]]*tablet[[#This Row],[hargaSatuan]]</f>
        <v>21870000</v>
      </c>
      <c r="N243" s="50">
        <v>0</v>
      </c>
      <c r="O243" s="51">
        <f>tablet[[#This Row],[qtyEd2025]]*tablet[[#This Row],[hargaSatuan]]</f>
        <v>0</v>
      </c>
      <c r="P243" s="50">
        <v>0</v>
      </c>
      <c r="Q243" s="52">
        <f>tablet[[#This Row],[qtySaldoAkhir2025]]*tablet[[#This Row],[hargaSatuan]]</f>
        <v>0</v>
      </c>
      <c r="S243" s="32">
        <f t="shared" si="6"/>
        <v>0</v>
      </c>
      <c r="T243" s="32">
        <f t="shared" si="7"/>
        <v>0</v>
      </c>
    </row>
    <row r="244" spans="1:20" ht="14.4" x14ac:dyDescent="0.3">
      <c r="A244" s="44">
        <v>234</v>
      </c>
      <c r="B244" s="45" t="s">
        <v>357</v>
      </c>
      <c r="C244" s="46" t="s">
        <v>349</v>
      </c>
      <c r="D244" s="47" t="s">
        <v>358</v>
      </c>
      <c r="E244" s="48">
        <v>46419</v>
      </c>
      <c r="F244" s="49">
        <v>207000</v>
      </c>
      <c r="G244" s="45" t="s">
        <v>40</v>
      </c>
      <c r="H244" s="50">
        <v>0</v>
      </c>
      <c r="I244" s="49">
        <f>tablet[[#This Row],[qtySaldoAwalSem1]]*tablet[[#This Row],[hargaSatuan]]</f>
        <v>0</v>
      </c>
      <c r="J244" s="50">
        <v>100</v>
      </c>
      <c r="K244" s="51">
        <f>tablet[[#This Row],[qtyTerima2025]]*tablet[[#This Row],[hargaSatuan]]</f>
        <v>20700000</v>
      </c>
      <c r="L244" s="50">
        <v>100</v>
      </c>
      <c r="M244" s="51">
        <f>tablet[[#This Row],[qtyDist2025]]*tablet[[#This Row],[hargaSatuan]]</f>
        <v>20700000</v>
      </c>
      <c r="N244" s="50">
        <v>0</v>
      </c>
      <c r="O244" s="51">
        <f>tablet[[#This Row],[qtyEd2025]]*tablet[[#This Row],[hargaSatuan]]</f>
        <v>0</v>
      </c>
      <c r="P244" s="50">
        <v>0</v>
      </c>
      <c r="Q244" s="52">
        <f>tablet[[#This Row],[qtySaldoAkhir2025]]*tablet[[#This Row],[hargaSatuan]]</f>
        <v>0</v>
      </c>
      <c r="S244" s="32">
        <f t="shared" si="6"/>
        <v>0</v>
      </c>
      <c r="T244" s="32">
        <f t="shared" si="7"/>
        <v>0</v>
      </c>
    </row>
    <row r="245" spans="1:20" ht="14.4" x14ac:dyDescent="0.3">
      <c r="A245" s="44">
        <v>235</v>
      </c>
      <c r="B245" s="45" t="s">
        <v>357</v>
      </c>
      <c r="C245" s="46" t="s">
        <v>349</v>
      </c>
      <c r="D245" s="47" t="s">
        <v>359</v>
      </c>
      <c r="E245" s="48">
        <v>46447</v>
      </c>
      <c r="F245" s="49">
        <v>207000</v>
      </c>
      <c r="G245" s="45" t="s">
        <v>40</v>
      </c>
      <c r="H245" s="50">
        <v>0</v>
      </c>
      <c r="I245" s="49">
        <f>tablet[[#This Row],[qtySaldoAwalSem1]]*tablet[[#This Row],[hargaSatuan]]</f>
        <v>0</v>
      </c>
      <c r="J245" s="50">
        <v>75</v>
      </c>
      <c r="K245" s="51">
        <f>tablet[[#This Row],[qtyTerima2025]]*tablet[[#This Row],[hargaSatuan]]</f>
        <v>15525000</v>
      </c>
      <c r="L245" s="50">
        <v>75</v>
      </c>
      <c r="M245" s="51">
        <f>tablet[[#This Row],[qtyDist2025]]*tablet[[#This Row],[hargaSatuan]]</f>
        <v>15525000</v>
      </c>
      <c r="N245" s="50">
        <v>0</v>
      </c>
      <c r="O245" s="51">
        <f>tablet[[#This Row],[qtyEd2025]]*tablet[[#This Row],[hargaSatuan]]</f>
        <v>0</v>
      </c>
      <c r="P245" s="50">
        <v>0</v>
      </c>
      <c r="Q245" s="52">
        <f>tablet[[#This Row],[qtySaldoAkhir2025]]*tablet[[#This Row],[hargaSatuan]]</f>
        <v>0</v>
      </c>
      <c r="S245" s="32">
        <f t="shared" si="6"/>
        <v>0</v>
      </c>
      <c r="T245" s="32">
        <f t="shared" si="7"/>
        <v>0</v>
      </c>
    </row>
    <row r="246" spans="1:20" ht="14.4" x14ac:dyDescent="0.3">
      <c r="A246" s="44">
        <v>236</v>
      </c>
      <c r="B246" s="45" t="s">
        <v>357</v>
      </c>
      <c r="C246" s="46" t="s">
        <v>349</v>
      </c>
      <c r="D246" s="47" t="s">
        <v>360</v>
      </c>
      <c r="E246" s="48">
        <v>46507</v>
      </c>
      <c r="F246" s="49">
        <v>207000</v>
      </c>
      <c r="G246" s="45" t="s">
        <v>40</v>
      </c>
      <c r="H246" s="50">
        <v>0</v>
      </c>
      <c r="I246" s="49">
        <f>tablet[[#This Row],[qtySaldoAwalSem1]]*tablet[[#This Row],[hargaSatuan]]</f>
        <v>0</v>
      </c>
      <c r="J246" s="50">
        <v>379</v>
      </c>
      <c r="K246" s="51">
        <f>tablet[[#This Row],[qtyTerima2025]]*tablet[[#This Row],[hargaSatuan]]</f>
        <v>78453000</v>
      </c>
      <c r="L246" s="50">
        <v>150</v>
      </c>
      <c r="M246" s="51">
        <f>tablet[[#This Row],[qtyDist2025]]*tablet[[#This Row],[hargaSatuan]]</f>
        <v>31050000</v>
      </c>
      <c r="N246" s="50">
        <v>0</v>
      </c>
      <c r="O246" s="51">
        <f>tablet[[#This Row],[qtyEd2025]]*tablet[[#This Row],[hargaSatuan]]</f>
        <v>0</v>
      </c>
      <c r="P246" s="50">
        <v>229</v>
      </c>
      <c r="Q246" s="52">
        <f>tablet[[#This Row],[qtySaldoAkhir2025]]*tablet[[#This Row],[hargaSatuan]]</f>
        <v>47403000</v>
      </c>
      <c r="S246" s="32">
        <f t="shared" si="6"/>
        <v>47403000</v>
      </c>
      <c r="T246" s="32">
        <f t="shared" si="7"/>
        <v>0</v>
      </c>
    </row>
    <row r="247" spans="1:20" ht="14.4" x14ac:dyDescent="0.3">
      <c r="A247" s="44">
        <v>237</v>
      </c>
      <c r="B247" s="45" t="s">
        <v>357</v>
      </c>
      <c r="C247" s="46" t="s">
        <v>349</v>
      </c>
      <c r="D247" s="47" t="s">
        <v>361</v>
      </c>
      <c r="E247" s="48">
        <v>46537</v>
      </c>
      <c r="F247" s="49">
        <v>207000</v>
      </c>
      <c r="G247" s="45" t="s">
        <v>40</v>
      </c>
      <c r="H247" s="50">
        <v>0</v>
      </c>
      <c r="I247" s="49">
        <f>tablet[[#This Row],[qtySaldoAwalSem1]]*tablet[[#This Row],[hargaSatuan]]</f>
        <v>0</v>
      </c>
      <c r="J247" s="50">
        <v>95</v>
      </c>
      <c r="K247" s="51">
        <f>tablet[[#This Row],[qtyTerima2025]]*tablet[[#This Row],[hargaSatuan]]</f>
        <v>19665000</v>
      </c>
      <c r="L247" s="50">
        <v>0</v>
      </c>
      <c r="M247" s="51">
        <f>tablet[[#This Row],[qtyDist2025]]*tablet[[#This Row],[hargaSatuan]]</f>
        <v>0</v>
      </c>
      <c r="N247" s="50">
        <v>0</v>
      </c>
      <c r="O247" s="51">
        <f>tablet[[#This Row],[qtyEd2025]]*tablet[[#This Row],[hargaSatuan]]</f>
        <v>0</v>
      </c>
      <c r="P247" s="50">
        <v>95</v>
      </c>
      <c r="Q247" s="52">
        <f>tablet[[#This Row],[qtySaldoAkhir2025]]*tablet[[#This Row],[hargaSatuan]]</f>
        <v>19665000</v>
      </c>
      <c r="S247" s="32">
        <f t="shared" si="6"/>
        <v>19665000</v>
      </c>
      <c r="T247" s="32">
        <f t="shared" si="7"/>
        <v>0</v>
      </c>
    </row>
    <row r="248" spans="1:20" ht="14.4" x14ac:dyDescent="0.3">
      <c r="A248" s="44">
        <v>238</v>
      </c>
      <c r="B248" s="45" t="s">
        <v>357</v>
      </c>
      <c r="C248" s="46" t="s">
        <v>349</v>
      </c>
      <c r="D248" s="47" t="s">
        <v>362</v>
      </c>
      <c r="E248" s="48">
        <v>46568</v>
      </c>
      <c r="F248" s="49">
        <v>207000</v>
      </c>
      <c r="G248" s="45" t="s">
        <v>40</v>
      </c>
      <c r="H248" s="50">
        <v>0</v>
      </c>
      <c r="I248" s="49">
        <f>tablet[[#This Row],[qtySaldoAwalSem1]]*tablet[[#This Row],[hargaSatuan]]</f>
        <v>0</v>
      </c>
      <c r="J248" s="50">
        <v>25</v>
      </c>
      <c r="K248" s="51">
        <f>tablet[[#This Row],[qtyTerima2025]]*tablet[[#This Row],[hargaSatuan]]</f>
        <v>5175000</v>
      </c>
      <c r="L248" s="50">
        <v>0</v>
      </c>
      <c r="M248" s="51">
        <f>tablet[[#This Row],[qtyDist2025]]*tablet[[#This Row],[hargaSatuan]]</f>
        <v>0</v>
      </c>
      <c r="N248" s="50">
        <v>0</v>
      </c>
      <c r="O248" s="51">
        <f>tablet[[#This Row],[qtyEd2025]]*tablet[[#This Row],[hargaSatuan]]</f>
        <v>0</v>
      </c>
      <c r="P248" s="50">
        <v>25</v>
      </c>
      <c r="Q248" s="52">
        <f>tablet[[#This Row],[qtySaldoAkhir2025]]*tablet[[#This Row],[hargaSatuan]]</f>
        <v>5175000</v>
      </c>
      <c r="S248" s="32">
        <f t="shared" si="6"/>
        <v>5175000</v>
      </c>
      <c r="T248" s="32">
        <f t="shared" si="7"/>
        <v>0</v>
      </c>
    </row>
    <row r="249" spans="1:20" ht="14.4" x14ac:dyDescent="0.3">
      <c r="A249" s="44">
        <v>239</v>
      </c>
      <c r="B249" s="45" t="s">
        <v>357</v>
      </c>
      <c r="C249" s="46" t="s">
        <v>349</v>
      </c>
      <c r="D249" s="47" t="s">
        <v>363</v>
      </c>
      <c r="E249" s="48">
        <v>46568</v>
      </c>
      <c r="F249" s="49">
        <v>207000</v>
      </c>
      <c r="G249" s="45" t="s">
        <v>40</v>
      </c>
      <c r="H249" s="50">
        <v>0</v>
      </c>
      <c r="I249" s="49">
        <f>tablet[[#This Row],[qtySaldoAwalSem1]]*tablet[[#This Row],[hargaSatuan]]</f>
        <v>0</v>
      </c>
      <c r="J249" s="50">
        <v>225</v>
      </c>
      <c r="K249" s="51">
        <f>tablet[[#This Row],[qtyTerima2025]]*tablet[[#This Row],[hargaSatuan]]</f>
        <v>46575000</v>
      </c>
      <c r="L249" s="50">
        <v>0</v>
      </c>
      <c r="M249" s="51">
        <f>tablet[[#This Row],[qtyDist2025]]*tablet[[#This Row],[hargaSatuan]]</f>
        <v>0</v>
      </c>
      <c r="N249" s="50">
        <v>0</v>
      </c>
      <c r="O249" s="51">
        <f>tablet[[#This Row],[qtyEd2025]]*tablet[[#This Row],[hargaSatuan]]</f>
        <v>0</v>
      </c>
      <c r="P249" s="50">
        <v>225</v>
      </c>
      <c r="Q249" s="52">
        <f>tablet[[#This Row],[qtySaldoAkhir2025]]*tablet[[#This Row],[hargaSatuan]]</f>
        <v>46575000</v>
      </c>
      <c r="S249" s="32">
        <f t="shared" si="6"/>
        <v>46575000</v>
      </c>
      <c r="T249" s="32">
        <f t="shared" si="7"/>
        <v>0</v>
      </c>
    </row>
    <row r="250" spans="1:20" ht="14.4" x14ac:dyDescent="0.3">
      <c r="A250" s="44">
        <v>240</v>
      </c>
      <c r="B250" s="45" t="s">
        <v>357</v>
      </c>
      <c r="C250" s="46" t="s">
        <v>349</v>
      </c>
      <c r="D250" s="47" t="s">
        <v>364</v>
      </c>
      <c r="E250" s="48">
        <v>46568</v>
      </c>
      <c r="F250" s="49">
        <v>207000</v>
      </c>
      <c r="G250" s="45" t="s">
        <v>40</v>
      </c>
      <c r="H250" s="50">
        <v>0</v>
      </c>
      <c r="I250" s="49">
        <f>tablet[[#This Row],[qtySaldoAwalSem1]]*tablet[[#This Row],[hargaSatuan]]</f>
        <v>0</v>
      </c>
      <c r="J250" s="50">
        <v>27</v>
      </c>
      <c r="K250" s="51">
        <f>tablet[[#This Row],[qtyTerima2025]]*tablet[[#This Row],[hargaSatuan]]</f>
        <v>5589000</v>
      </c>
      <c r="L250" s="50">
        <v>0</v>
      </c>
      <c r="M250" s="51">
        <f>tablet[[#This Row],[qtyDist2025]]*tablet[[#This Row],[hargaSatuan]]</f>
        <v>0</v>
      </c>
      <c r="N250" s="50">
        <v>0</v>
      </c>
      <c r="O250" s="51">
        <f>tablet[[#This Row],[qtyEd2025]]*tablet[[#This Row],[hargaSatuan]]</f>
        <v>0</v>
      </c>
      <c r="P250" s="50">
        <v>27</v>
      </c>
      <c r="Q250" s="52">
        <f>tablet[[#This Row],[qtySaldoAkhir2025]]*tablet[[#This Row],[hargaSatuan]]</f>
        <v>5589000</v>
      </c>
      <c r="S250" s="32">
        <f t="shared" si="6"/>
        <v>5589000</v>
      </c>
      <c r="T250" s="32">
        <f t="shared" si="7"/>
        <v>0</v>
      </c>
    </row>
    <row r="251" spans="1:20" ht="14.4" x14ac:dyDescent="0.3">
      <c r="A251" s="44">
        <v>241</v>
      </c>
      <c r="B251" s="45" t="s">
        <v>357</v>
      </c>
      <c r="C251" s="46" t="s">
        <v>349</v>
      </c>
      <c r="D251" s="47" t="s">
        <v>365</v>
      </c>
      <c r="E251" s="48">
        <v>46568</v>
      </c>
      <c r="F251" s="49">
        <v>207000</v>
      </c>
      <c r="G251" s="45" t="s">
        <v>40</v>
      </c>
      <c r="H251" s="50">
        <v>0</v>
      </c>
      <c r="I251" s="49">
        <f>tablet[[#This Row],[qtySaldoAwalSem1]]*tablet[[#This Row],[hargaSatuan]]</f>
        <v>0</v>
      </c>
      <c r="J251" s="50">
        <v>27</v>
      </c>
      <c r="K251" s="51">
        <f>tablet[[#This Row],[qtyTerima2025]]*tablet[[#This Row],[hargaSatuan]]</f>
        <v>5589000</v>
      </c>
      <c r="L251" s="50">
        <v>0</v>
      </c>
      <c r="M251" s="51">
        <f>tablet[[#This Row],[qtyDist2025]]*tablet[[#This Row],[hargaSatuan]]</f>
        <v>0</v>
      </c>
      <c r="N251" s="50">
        <v>0</v>
      </c>
      <c r="O251" s="51">
        <f>tablet[[#This Row],[qtyEd2025]]*tablet[[#This Row],[hargaSatuan]]</f>
        <v>0</v>
      </c>
      <c r="P251" s="50">
        <v>27</v>
      </c>
      <c r="Q251" s="52">
        <f>tablet[[#This Row],[qtySaldoAkhir2025]]*tablet[[#This Row],[hargaSatuan]]</f>
        <v>5589000</v>
      </c>
      <c r="S251" s="32">
        <f t="shared" si="6"/>
        <v>5589000</v>
      </c>
      <c r="T251" s="32">
        <f t="shared" si="7"/>
        <v>0</v>
      </c>
    </row>
    <row r="252" spans="1:20" ht="14.4" x14ac:dyDescent="0.3">
      <c r="A252" s="44">
        <v>242</v>
      </c>
      <c r="B252" s="45" t="s">
        <v>357</v>
      </c>
      <c r="C252" s="46" t="s">
        <v>349</v>
      </c>
      <c r="D252" s="47" t="s">
        <v>366</v>
      </c>
      <c r="E252" s="48">
        <v>46690</v>
      </c>
      <c r="F252" s="49">
        <v>207000</v>
      </c>
      <c r="G252" s="45" t="s">
        <v>40</v>
      </c>
      <c r="H252" s="50">
        <v>0</v>
      </c>
      <c r="I252" s="49">
        <f>tablet[[#This Row],[qtySaldoAwalSem1]]*tablet[[#This Row],[hargaSatuan]]</f>
        <v>0</v>
      </c>
      <c r="J252" s="50">
        <v>21</v>
      </c>
      <c r="K252" s="51">
        <f>tablet[[#This Row],[qtyTerima2025]]*tablet[[#This Row],[hargaSatuan]]</f>
        <v>4347000</v>
      </c>
      <c r="L252" s="50">
        <v>0</v>
      </c>
      <c r="M252" s="51">
        <f>tablet[[#This Row],[qtyDist2025]]*tablet[[#This Row],[hargaSatuan]]</f>
        <v>0</v>
      </c>
      <c r="N252" s="50">
        <v>0</v>
      </c>
      <c r="O252" s="51">
        <f>tablet[[#This Row],[qtyEd2025]]*tablet[[#This Row],[hargaSatuan]]</f>
        <v>0</v>
      </c>
      <c r="P252" s="50">
        <v>21</v>
      </c>
      <c r="Q252" s="52">
        <f>tablet[[#This Row],[qtySaldoAkhir2025]]*tablet[[#This Row],[hargaSatuan]]</f>
        <v>4347000</v>
      </c>
      <c r="S252" s="32">
        <f t="shared" si="6"/>
        <v>4347000</v>
      </c>
      <c r="T252" s="32">
        <f t="shared" si="7"/>
        <v>0</v>
      </c>
    </row>
    <row r="253" spans="1:20" ht="14.4" x14ac:dyDescent="0.3">
      <c r="A253" s="44">
        <v>243</v>
      </c>
      <c r="B253" s="45" t="s">
        <v>357</v>
      </c>
      <c r="C253" s="46" t="s">
        <v>349</v>
      </c>
      <c r="D253" s="47" t="s">
        <v>367</v>
      </c>
      <c r="E253" s="48">
        <v>46537</v>
      </c>
      <c r="F253" s="49">
        <v>207000</v>
      </c>
      <c r="G253" s="45" t="s">
        <v>40</v>
      </c>
      <c r="H253" s="50">
        <v>0</v>
      </c>
      <c r="I253" s="49">
        <f>tablet[[#This Row],[qtySaldoAwalSem1]]*tablet[[#This Row],[hargaSatuan]]</f>
        <v>0</v>
      </c>
      <c r="J253" s="50">
        <v>12</v>
      </c>
      <c r="K253" s="51">
        <f>tablet[[#This Row],[qtyTerima2025]]*tablet[[#This Row],[hargaSatuan]]</f>
        <v>2484000</v>
      </c>
      <c r="L253" s="50">
        <v>6</v>
      </c>
      <c r="M253" s="51">
        <f>tablet[[#This Row],[qtyDist2025]]*tablet[[#This Row],[hargaSatuan]]</f>
        <v>1242000</v>
      </c>
      <c r="N253" s="50">
        <v>0</v>
      </c>
      <c r="O253" s="51">
        <f>tablet[[#This Row],[qtyEd2025]]*tablet[[#This Row],[hargaSatuan]]</f>
        <v>0</v>
      </c>
      <c r="P253" s="50">
        <v>6</v>
      </c>
      <c r="Q253" s="52">
        <f>tablet[[#This Row],[qtySaldoAkhir2025]]*tablet[[#This Row],[hargaSatuan]]</f>
        <v>1242000</v>
      </c>
      <c r="S253" s="32">
        <f t="shared" si="6"/>
        <v>1242000</v>
      </c>
      <c r="T253" s="32">
        <f t="shared" si="7"/>
        <v>0</v>
      </c>
    </row>
    <row r="254" spans="1:20" ht="14.4" x14ac:dyDescent="0.3">
      <c r="A254" s="44">
        <v>244</v>
      </c>
      <c r="B254" s="45" t="s">
        <v>357</v>
      </c>
      <c r="C254" s="46" t="s">
        <v>349</v>
      </c>
      <c r="D254" s="47" t="s">
        <v>360</v>
      </c>
      <c r="E254" s="48">
        <v>46537</v>
      </c>
      <c r="F254" s="49">
        <v>207000</v>
      </c>
      <c r="G254" s="45" t="s">
        <v>40</v>
      </c>
      <c r="H254" s="50">
        <v>0</v>
      </c>
      <c r="I254" s="49">
        <f>tablet[[#This Row],[qtySaldoAwalSem1]]*tablet[[#This Row],[hargaSatuan]]</f>
        <v>0</v>
      </c>
      <c r="J254" s="50">
        <v>79</v>
      </c>
      <c r="K254" s="51">
        <f>tablet[[#This Row],[qtyTerima2025]]*tablet[[#This Row],[hargaSatuan]]</f>
        <v>16353000</v>
      </c>
      <c r="L254" s="50">
        <v>68</v>
      </c>
      <c r="M254" s="51">
        <f>tablet[[#This Row],[qtyDist2025]]*tablet[[#This Row],[hargaSatuan]]</f>
        <v>14076000</v>
      </c>
      <c r="N254" s="50">
        <v>0</v>
      </c>
      <c r="O254" s="51">
        <f>tablet[[#This Row],[qtyEd2025]]*tablet[[#This Row],[hargaSatuan]]</f>
        <v>0</v>
      </c>
      <c r="P254" s="50">
        <v>11</v>
      </c>
      <c r="Q254" s="52">
        <f>tablet[[#This Row],[qtySaldoAkhir2025]]*tablet[[#This Row],[hargaSatuan]]</f>
        <v>2277000</v>
      </c>
      <c r="S254" s="32">
        <f t="shared" si="6"/>
        <v>2277000</v>
      </c>
      <c r="T254" s="32">
        <f t="shared" si="7"/>
        <v>0</v>
      </c>
    </row>
    <row r="255" spans="1:20" ht="14.4" x14ac:dyDescent="0.3">
      <c r="A255" s="44">
        <v>245</v>
      </c>
      <c r="B255" s="45" t="s">
        <v>368</v>
      </c>
      <c r="C255" s="46" t="s">
        <v>38</v>
      </c>
      <c r="D255" s="47" t="s">
        <v>352</v>
      </c>
      <c r="E255" s="48">
        <v>46143</v>
      </c>
      <c r="F255" s="49">
        <v>100980</v>
      </c>
      <c r="G255" s="45" t="s">
        <v>40</v>
      </c>
      <c r="H255" s="50">
        <v>199</v>
      </c>
      <c r="I255" s="49">
        <f>tablet[[#This Row],[qtySaldoAwalSem1]]*tablet[[#This Row],[hargaSatuan]]</f>
        <v>20095020</v>
      </c>
      <c r="J255" s="50">
        <v>0</v>
      </c>
      <c r="K255" s="51">
        <f>tablet[[#This Row],[qtyTerima2025]]*tablet[[#This Row],[hargaSatuan]]</f>
        <v>0</v>
      </c>
      <c r="L255" s="50">
        <v>199</v>
      </c>
      <c r="M255" s="51">
        <f>tablet[[#This Row],[qtyDist2025]]*tablet[[#This Row],[hargaSatuan]]</f>
        <v>20095020</v>
      </c>
      <c r="N255" s="50">
        <v>0</v>
      </c>
      <c r="O255" s="51">
        <f>tablet[[#This Row],[qtyEd2025]]*tablet[[#This Row],[hargaSatuan]]</f>
        <v>0</v>
      </c>
      <c r="P255" s="50">
        <v>0</v>
      </c>
      <c r="Q255" s="52">
        <f>tablet[[#This Row],[qtySaldoAkhir2025]]*tablet[[#This Row],[hargaSatuan]]</f>
        <v>0</v>
      </c>
      <c r="S255" s="32">
        <f t="shared" si="6"/>
        <v>0</v>
      </c>
      <c r="T255" s="32">
        <f t="shared" si="7"/>
        <v>0</v>
      </c>
    </row>
    <row r="256" spans="1:20" ht="14.4" x14ac:dyDescent="0.3">
      <c r="A256" s="44">
        <v>246</v>
      </c>
      <c r="B256" s="45" t="s">
        <v>369</v>
      </c>
      <c r="C256" s="46" t="s">
        <v>38</v>
      </c>
      <c r="D256" s="47" t="s">
        <v>370</v>
      </c>
      <c r="E256" s="48">
        <v>45809</v>
      </c>
      <c r="F256" s="49">
        <v>90330</v>
      </c>
      <c r="G256" s="45" t="s">
        <v>40</v>
      </c>
      <c r="H256" s="50">
        <v>84</v>
      </c>
      <c r="I256" s="49">
        <f>tablet[[#This Row],[qtySaldoAwalSem1]]*tablet[[#This Row],[hargaSatuan]]</f>
        <v>7587720</v>
      </c>
      <c r="J256" s="50">
        <v>0</v>
      </c>
      <c r="K256" s="51">
        <f>tablet[[#This Row],[qtyTerima2025]]*tablet[[#This Row],[hargaSatuan]]</f>
        <v>0</v>
      </c>
      <c r="L256" s="50">
        <v>84</v>
      </c>
      <c r="M256" s="51">
        <f>tablet[[#This Row],[qtyDist2025]]*tablet[[#This Row],[hargaSatuan]]</f>
        <v>7587720</v>
      </c>
      <c r="N256" s="50">
        <v>0</v>
      </c>
      <c r="O256" s="51">
        <f>tablet[[#This Row],[qtyEd2025]]*tablet[[#This Row],[hargaSatuan]]</f>
        <v>0</v>
      </c>
      <c r="P256" s="50">
        <v>0</v>
      </c>
      <c r="Q256" s="52">
        <f>tablet[[#This Row],[qtySaldoAkhir2025]]*tablet[[#This Row],[hargaSatuan]]</f>
        <v>0</v>
      </c>
      <c r="S256" s="32">
        <f t="shared" si="6"/>
        <v>0</v>
      </c>
      <c r="T256" s="32">
        <f t="shared" si="7"/>
        <v>0</v>
      </c>
    </row>
    <row r="257" spans="1:59" ht="14.4" x14ac:dyDescent="0.3">
      <c r="A257" s="44">
        <v>247</v>
      </c>
      <c r="B257" s="45" t="s">
        <v>371</v>
      </c>
      <c r="C257" s="46" t="s">
        <v>52</v>
      </c>
      <c r="D257" s="47" t="s">
        <v>372</v>
      </c>
      <c r="E257" s="48">
        <v>46143</v>
      </c>
      <c r="F257" s="49">
        <v>234</v>
      </c>
      <c r="G257" s="45" t="s">
        <v>40</v>
      </c>
      <c r="H257" s="50">
        <v>1000</v>
      </c>
      <c r="I257" s="49">
        <f>tablet[[#This Row],[qtySaldoAwalSem1]]*tablet[[#This Row],[hargaSatuan]]</f>
        <v>234000</v>
      </c>
      <c r="J257" s="50">
        <v>0</v>
      </c>
      <c r="K257" s="51">
        <f>tablet[[#This Row],[qtyTerima2025]]*tablet[[#This Row],[hargaSatuan]]</f>
        <v>0</v>
      </c>
      <c r="L257" s="50">
        <v>0</v>
      </c>
      <c r="M257" s="51">
        <f>tablet[[#This Row],[qtyDist2025]]*tablet[[#This Row],[hargaSatuan]]</f>
        <v>0</v>
      </c>
      <c r="N257" s="50">
        <v>0</v>
      </c>
      <c r="O257" s="51">
        <f>tablet[[#This Row],[qtyEd2025]]*tablet[[#This Row],[hargaSatuan]]</f>
        <v>0</v>
      </c>
      <c r="P257" s="50">
        <v>1000</v>
      </c>
      <c r="Q257" s="52">
        <f>tablet[[#This Row],[qtySaldoAkhir2025]]*tablet[[#This Row],[hargaSatuan]]</f>
        <v>234000</v>
      </c>
      <c r="S257" s="32">
        <f t="shared" si="6"/>
        <v>234000</v>
      </c>
      <c r="T257" s="32">
        <f t="shared" si="7"/>
        <v>0</v>
      </c>
    </row>
    <row r="258" spans="1:59" ht="14.4" x14ac:dyDescent="0.3">
      <c r="A258" s="44">
        <v>248</v>
      </c>
      <c r="B258" s="45" t="s">
        <v>373</v>
      </c>
      <c r="C258" s="46" t="s">
        <v>52</v>
      </c>
      <c r="D258" s="47" t="s">
        <v>374</v>
      </c>
      <c r="E258" s="48">
        <v>45870</v>
      </c>
      <c r="F258" s="49">
        <v>126</v>
      </c>
      <c r="G258" s="45" t="s">
        <v>54</v>
      </c>
      <c r="H258" s="50">
        <v>88600</v>
      </c>
      <c r="I258" s="49">
        <f>tablet[[#This Row],[qtySaldoAwalSem1]]*tablet[[#This Row],[hargaSatuan]]</f>
        <v>11163600</v>
      </c>
      <c r="J258" s="50">
        <v>0</v>
      </c>
      <c r="K258" s="51">
        <f>tablet[[#This Row],[qtyTerima2025]]*tablet[[#This Row],[hargaSatuan]]</f>
        <v>0</v>
      </c>
      <c r="L258" s="50">
        <v>22900</v>
      </c>
      <c r="M258" s="51">
        <f>tablet[[#This Row],[qtyDist2025]]*tablet[[#This Row],[hargaSatuan]]</f>
        <v>2885400</v>
      </c>
      <c r="N258" s="50">
        <v>60700</v>
      </c>
      <c r="O258" s="51">
        <f>tablet[[#This Row],[qtyEd2025]]*tablet[[#This Row],[hargaSatuan]]</f>
        <v>7648200</v>
      </c>
      <c r="P258" s="50">
        <v>5000</v>
      </c>
      <c r="Q258" s="52">
        <f>tablet[[#This Row],[qtySaldoAkhir2025]]*tablet[[#This Row],[hargaSatuan]]</f>
        <v>630000</v>
      </c>
      <c r="S258" s="32">
        <f t="shared" si="6"/>
        <v>630000</v>
      </c>
      <c r="T258" s="32">
        <f t="shared" si="7"/>
        <v>0</v>
      </c>
    </row>
    <row r="259" spans="1:59" ht="14.4" x14ac:dyDescent="0.3">
      <c r="A259" s="44">
        <v>249</v>
      </c>
      <c r="B259" s="45" t="s">
        <v>373</v>
      </c>
      <c r="C259" s="46" t="s">
        <v>47</v>
      </c>
      <c r="D259" s="47" t="s">
        <v>375</v>
      </c>
      <c r="E259" s="48">
        <v>46843</v>
      </c>
      <c r="F259" s="49">
        <v>119</v>
      </c>
      <c r="G259" s="45" t="s">
        <v>40</v>
      </c>
      <c r="H259" s="50">
        <v>0</v>
      </c>
      <c r="I259" s="49">
        <f>tablet[[#This Row],[qtySaldoAwalSem1]]*tablet[[#This Row],[hargaSatuan]]</f>
        <v>0</v>
      </c>
      <c r="J259" s="50">
        <v>3000</v>
      </c>
      <c r="K259" s="51">
        <f>tablet[[#This Row],[qtyTerima2025]]*tablet[[#This Row],[hargaSatuan]]</f>
        <v>357000</v>
      </c>
      <c r="L259" s="50">
        <v>3000</v>
      </c>
      <c r="M259" s="51">
        <f>tablet[[#This Row],[qtyDist2025]]*tablet[[#This Row],[hargaSatuan]]</f>
        <v>357000</v>
      </c>
      <c r="N259" s="50">
        <v>0</v>
      </c>
      <c r="O259" s="51">
        <f>tablet[[#This Row],[qtyEd2025]]*tablet[[#This Row],[hargaSatuan]]</f>
        <v>0</v>
      </c>
      <c r="P259" s="50">
        <v>0</v>
      </c>
      <c r="Q259" s="52">
        <f>tablet[[#This Row],[qtySaldoAkhir2025]]*tablet[[#This Row],[hargaSatuan]]</f>
        <v>0</v>
      </c>
      <c r="S259" s="32">
        <f t="shared" si="6"/>
        <v>0</v>
      </c>
      <c r="T259" s="32">
        <f t="shared" si="7"/>
        <v>0</v>
      </c>
    </row>
    <row r="260" spans="1:59" ht="14.4" x14ac:dyDescent="0.3">
      <c r="A260" s="44">
        <v>250</v>
      </c>
      <c r="B260" s="45" t="s">
        <v>373</v>
      </c>
      <c r="C260" s="46" t="s">
        <v>47</v>
      </c>
      <c r="D260" s="47">
        <v>1506724</v>
      </c>
      <c r="E260" s="48">
        <v>47270</v>
      </c>
      <c r="F260" s="49">
        <v>123</v>
      </c>
      <c r="G260" s="45" t="s">
        <v>36</v>
      </c>
      <c r="H260" s="50">
        <v>0</v>
      </c>
      <c r="I260" s="49">
        <f>tablet[[#This Row],[qtySaldoAwalSem1]]*tablet[[#This Row],[hargaSatuan]]</f>
        <v>0</v>
      </c>
      <c r="J260" s="50">
        <v>23000</v>
      </c>
      <c r="K260" s="51">
        <f>tablet[[#This Row],[qtyTerima2025]]*tablet[[#This Row],[hargaSatuan]]</f>
        <v>2829000</v>
      </c>
      <c r="L260" s="50">
        <v>7200</v>
      </c>
      <c r="M260" s="51">
        <f>tablet[[#This Row],[qtyDist2025]]*tablet[[#This Row],[hargaSatuan]]</f>
        <v>885600</v>
      </c>
      <c r="N260" s="50">
        <v>0</v>
      </c>
      <c r="O260" s="51">
        <f>tablet[[#This Row],[qtyEd2025]]*tablet[[#This Row],[hargaSatuan]]</f>
        <v>0</v>
      </c>
      <c r="P260" s="50">
        <v>15800</v>
      </c>
      <c r="Q260" s="52">
        <f>tablet[[#This Row],[qtySaldoAkhir2025]]*tablet[[#This Row],[hargaSatuan]]</f>
        <v>1943400</v>
      </c>
      <c r="S260" s="32">
        <f t="shared" si="6"/>
        <v>1943400</v>
      </c>
      <c r="T260" s="32">
        <f t="shared" si="7"/>
        <v>0</v>
      </c>
    </row>
    <row r="261" spans="1:59" ht="14.4" x14ac:dyDescent="0.3">
      <c r="A261" s="44">
        <v>252</v>
      </c>
      <c r="B261" s="45" t="s">
        <v>376</v>
      </c>
      <c r="C261" s="46" t="s">
        <v>218</v>
      </c>
      <c r="D261" s="47" t="s">
        <v>377</v>
      </c>
      <c r="E261" s="48">
        <v>45839</v>
      </c>
      <c r="F261" s="49">
        <v>370</v>
      </c>
      <c r="G261" s="45" t="s">
        <v>40</v>
      </c>
      <c r="H261" s="50">
        <v>6000</v>
      </c>
      <c r="I261" s="49">
        <f>tablet[[#This Row],[qtySaldoAwalSem1]]*tablet[[#This Row],[hargaSatuan]]</f>
        <v>2220000</v>
      </c>
      <c r="J261" s="50">
        <v>0</v>
      </c>
      <c r="K261" s="51">
        <f>tablet[[#This Row],[qtyTerima2025]]*tablet[[#This Row],[hargaSatuan]]</f>
        <v>0</v>
      </c>
      <c r="L261" s="50">
        <v>250</v>
      </c>
      <c r="M261" s="51">
        <f>tablet[[#This Row],[qtyDist2025]]*tablet[[#This Row],[hargaSatuan]]</f>
        <v>92500</v>
      </c>
      <c r="N261" s="50">
        <v>5750</v>
      </c>
      <c r="O261" s="51">
        <f>tablet[[#This Row],[qtyEd2025]]*tablet[[#This Row],[hargaSatuan]]</f>
        <v>2127500</v>
      </c>
      <c r="P261" s="50">
        <v>0</v>
      </c>
      <c r="Q261" s="52">
        <f>tablet[[#This Row],[qtySaldoAkhir2025]]*tablet[[#This Row],[hargaSatuan]]</f>
        <v>0</v>
      </c>
      <c r="S261" s="32">
        <f t="shared" si="6"/>
        <v>0</v>
      </c>
      <c r="T261" s="32">
        <f t="shared" si="7"/>
        <v>0</v>
      </c>
    </row>
    <row r="262" spans="1:59" ht="14.4" x14ac:dyDescent="0.3">
      <c r="A262" s="44">
        <v>253</v>
      </c>
      <c r="B262" s="45" t="s">
        <v>376</v>
      </c>
      <c r="C262" s="46" t="s">
        <v>218</v>
      </c>
      <c r="D262" s="47" t="s">
        <v>378</v>
      </c>
      <c r="E262" s="48">
        <v>45717</v>
      </c>
      <c r="F262" s="49">
        <v>425</v>
      </c>
      <c r="G262" s="45" t="s">
        <v>40</v>
      </c>
      <c r="H262" s="50">
        <v>3700</v>
      </c>
      <c r="I262" s="49">
        <f>tablet[[#This Row],[qtySaldoAwalSem1]]*tablet[[#This Row],[hargaSatuan]]</f>
        <v>1572500</v>
      </c>
      <c r="J262" s="50">
        <v>0</v>
      </c>
      <c r="K262" s="51">
        <f>tablet[[#This Row],[qtyTerima2025]]*tablet[[#This Row],[hargaSatuan]]</f>
        <v>0</v>
      </c>
      <c r="L262" s="50">
        <v>3700</v>
      </c>
      <c r="M262" s="51">
        <f>tablet[[#This Row],[qtyDist2025]]*tablet[[#This Row],[hargaSatuan]]</f>
        <v>1572500</v>
      </c>
      <c r="N262" s="50">
        <v>0</v>
      </c>
      <c r="O262" s="51">
        <f>tablet[[#This Row],[qtyEd2025]]*tablet[[#This Row],[hargaSatuan]]</f>
        <v>0</v>
      </c>
      <c r="P262" s="50">
        <v>0</v>
      </c>
      <c r="Q262" s="52">
        <f>tablet[[#This Row],[qtySaldoAkhir2025]]*tablet[[#This Row],[hargaSatuan]]</f>
        <v>0</v>
      </c>
      <c r="S262" s="32">
        <f t="shared" si="6"/>
        <v>0</v>
      </c>
      <c r="T262" s="32">
        <f t="shared" si="7"/>
        <v>0</v>
      </c>
    </row>
    <row r="263" spans="1:59" ht="14.4" x14ac:dyDescent="0.3">
      <c r="A263" s="44">
        <v>254</v>
      </c>
      <c r="B263" s="45" t="s">
        <v>376</v>
      </c>
      <c r="C263" s="46" t="s">
        <v>218</v>
      </c>
      <c r="D263" s="47" t="s">
        <v>379</v>
      </c>
      <c r="E263" s="48">
        <v>45992</v>
      </c>
      <c r="F263" s="49">
        <v>448.86</v>
      </c>
      <c r="G263" s="45" t="s">
        <v>40</v>
      </c>
      <c r="H263" s="50">
        <v>0</v>
      </c>
      <c r="I263" s="49">
        <f>tablet[[#This Row],[qtySaldoAwalSem1]]*tablet[[#This Row],[hargaSatuan]]</f>
        <v>0</v>
      </c>
      <c r="J263" s="50">
        <v>7000</v>
      </c>
      <c r="K263" s="51">
        <f>tablet[[#This Row],[qtyTerima2025]]*tablet[[#This Row],[hargaSatuan]]</f>
        <v>3142020</v>
      </c>
      <c r="L263" s="50">
        <v>6000</v>
      </c>
      <c r="M263" s="51">
        <f>tablet[[#This Row],[qtyDist2025]]*tablet[[#This Row],[hargaSatuan]]</f>
        <v>2693160</v>
      </c>
      <c r="N263" s="50">
        <v>1000</v>
      </c>
      <c r="O263" s="51">
        <f>tablet[[#This Row],[qtyEd2025]]*tablet[[#This Row],[hargaSatuan]]</f>
        <v>448860</v>
      </c>
      <c r="P263" s="50">
        <v>0</v>
      </c>
      <c r="Q263" s="52">
        <f>tablet[[#This Row],[qtySaldoAkhir2025]]*tablet[[#This Row],[hargaSatuan]]</f>
        <v>0</v>
      </c>
      <c r="S263" s="32">
        <f t="shared" si="6"/>
        <v>0</v>
      </c>
      <c r="T263" s="32">
        <f t="shared" si="7"/>
        <v>0</v>
      </c>
    </row>
    <row r="264" spans="1:59" ht="14.4" x14ac:dyDescent="0.3">
      <c r="A264" s="44">
        <v>255</v>
      </c>
      <c r="B264" s="45" t="s">
        <v>376</v>
      </c>
      <c r="C264" s="46" t="s">
        <v>218</v>
      </c>
      <c r="D264" s="47" t="s">
        <v>380</v>
      </c>
      <c r="E264" s="48">
        <v>46419</v>
      </c>
      <c r="F264" s="49">
        <v>475</v>
      </c>
      <c r="G264" s="45" t="s">
        <v>40</v>
      </c>
      <c r="H264" s="50">
        <v>0</v>
      </c>
      <c r="I264" s="49">
        <f>tablet[[#This Row],[qtySaldoAwalSem1]]*tablet[[#This Row],[hargaSatuan]]</f>
        <v>0</v>
      </c>
      <c r="J264" s="50">
        <v>2000</v>
      </c>
      <c r="K264" s="51">
        <f>tablet[[#This Row],[qtyTerima2025]]*tablet[[#This Row],[hargaSatuan]]</f>
        <v>950000</v>
      </c>
      <c r="L264" s="50">
        <v>100</v>
      </c>
      <c r="M264" s="51">
        <f>tablet[[#This Row],[qtyDist2025]]*tablet[[#This Row],[hargaSatuan]]</f>
        <v>47500</v>
      </c>
      <c r="N264" s="50">
        <v>0</v>
      </c>
      <c r="O264" s="51">
        <f>tablet[[#This Row],[qtyEd2025]]*tablet[[#This Row],[hargaSatuan]]</f>
        <v>0</v>
      </c>
      <c r="P264" s="50">
        <v>1900</v>
      </c>
      <c r="Q264" s="52">
        <f>tablet[[#This Row],[qtySaldoAkhir2025]]*tablet[[#This Row],[hargaSatuan]]</f>
        <v>902500</v>
      </c>
      <c r="S264" s="32">
        <f t="shared" ref="S264:S327" si="8">IFERROR(I264+K264-(M264+O264),0)</f>
        <v>902500</v>
      </c>
      <c r="T264" s="32">
        <f t="shared" ref="T264:T327" si="9">IFERROR(Q264-S264,0)</f>
        <v>0</v>
      </c>
    </row>
    <row r="265" spans="1:59" ht="14.4" x14ac:dyDescent="0.3">
      <c r="A265" s="44">
        <v>256</v>
      </c>
      <c r="B265" s="45" t="s">
        <v>376</v>
      </c>
      <c r="C265" s="46" t="s">
        <v>218</v>
      </c>
      <c r="D265" s="47" t="s">
        <v>379</v>
      </c>
      <c r="E265" s="48">
        <v>46003</v>
      </c>
      <c r="F265" s="49">
        <v>448.86</v>
      </c>
      <c r="G265" s="45" t="s">
        <v>40</v>
      </c>
      <c r="H265" s="50">
        <v>0</v>
      </c>
      <c r="I265" s="49">
        <f>tablet[[#This Row],[qtySaldoAwalSem1]]*tablet[[#This Row],[hargaSatuan]]</f>
        <v>0</v>
      </c>
      <c r="J265" s="50">
        <v>0</v>
      </c>
      <c r="K265" s="51">
        <f>tablet[[#This Row],[qtyTerima2025]]*tablet[[#This Row],[hargaSatuan]]</f>
        <v>0</v>
      </c>
      <c r="L265" s="50">
        <v>0</v>
      </c>
      <c r="M265" s="51">
        <f>tablet[[#This Row],[qtyDist2025]]*tablet[[#This Row],[hargaSatuan]]</f>
        <v>0</v>
      </c>
      <c r="N265" s="50">
        <v>0</v>
      </c>
      <c r="O265" s="51">
        <f>tablet[[#This Row],[qtyEd2025]]*tablet[[#This Row],[hargaSatuan]]</f>
        <v>0</v>
      </c>
      <c r="P265" s="50">
        <v>0</v>
      </c>
      <c r="Q265" s="52">
        <f>tablet[[#This Row],[qtySaldoAkhir2025]]*tablet[[#This Row],[hargaSatuan]]</f>
        <v>0</v>
      </c>
      <c r="S265" s="32">
        <f t="shared" si="8"/>
        <v>0</v>
      </c>
      <c r="T265" s="32">
        <f t="shared" si="9"/>
        <v>0</v>
      </c>
    </row>
    <row r="266" spans="1:59" ht="14.4" x14ac:dyDescent="0.3">
      <c r="A266" s="44">
        <v>257</v>
      </c>
      <c r="B266" s="45" t="s">
        <v>376</v>
      </c>
      <c r="C266" s="46" t="s">
        <v>218</v>
      </c>
      <c r="D266" s="47" t="s">
        <v>380</v>
      </c>
      <c r="E266" s="48">
        <v>46444</v>
      </c>
      <c r="F266" s="49">
        <v>475</v>
      </c>
      <c r="G266" s="45" t="s">
        <v>40</v>
      </c>
      <c r="H266" s="50">
        <v>0</v>
      </c>
      <c r="I266" s="49">
        <f>tablet[[#This Row],[qtySaldoAwalSem1]]*tablet[[#This Row],[hargaSatuan]]</f>
        <v>0</v>
      </c>
      <c r="J266" s="50">
        <v>0</v>
      </c>
      <c r="K266" s="51">
        <f>tablet[[#This Row],[qtyTerima2025]]*tablet[[#This Row],[hargaSatuan]]</f>
        <v>0</v>
      </c>
      <c r="L266" s="50">
        <v>0</v>
      </c>
      <c r="M266" s="51">
        <f>tablet[[#This Row],[qtyDist2025]]*tablet[[#This Row],[hargaSatuan]]</f>
        <v>0</v>
      </c>
      <c r="N266" s="50">
        <v>0</v>
      </c>
      <c r="O266" s="51">
        <f>tablet[[#This Row],[qtyEd2025]]*tablet[[#This Row],[hargaSatuan]]</f>
        <v>0</v>
      </c>
      <c r="P266" s="50">
        <v>0</v>
      </c>
      <c r="Q266" s="52">
        <f>tablet[[#This Row],[qtySaldoAkhir2025]]*tablet[[#This Row],[hargaSatuan]]</f>
        <v>0</v>
      </c>
      <c r="S266" s="32">
        <f t="shared" si="8"/>
        <v>0</v>
      </c>
      <c r="T266" s="32">
        <f t="shared" si="9"/>
        <v>0</v>
      </c>
    </row>
    <row r="267" spans="1:59" ht="14.4" x14ac:dyDescent="0.3">
      <c r="A267" s="44">
        <v>258</v>
      </c>
      <c r="B267" s="45" t="s">
        <v>381</v>
      </c>
      <c r="C267" s="46" t="s">
        <v>218</v>
      </c>
      <c r="D267" s="47" t="s">
        <v>382</v>
      </c>
      <c r="E267" s="48">
        <v>45992</v>
      </c>
      <c r="F267" s="49">
        <v>989.18</v>
      </c>
      <c r="G267" s="45" t="s">
        <v>40</v>
      </c>
      <c r="H267" s="50">
        <v>0</v>
      </c>
      <c r="I267" s="49">
        <f>tablet[[#This Row],[qtySaldoAwalSem1]]*tablet[[#This Row],[hargaSatuan]]</f>
        <v>0</v>
      </c>
      <c r="J267" s="50">
        <v>15000</v>
      </c>
      <c r="K267" s="51">
        <f>tablet[[#This Row],[qtyTerima2025]]*tablet[[#This Row],[hargaSatuan]]</f>
        <v>14837700</v>
      </c>
      <c r="L267" s="50">
        <v>15000</v>
      </c>
      <c r="M267" s="51">
        <f>tablet[[#This Row],[qtyDist2025]]*tablet[[#This Row],[hargaSatuan]]</f>
        <v>14837700</v>
      </c>
      <c r="N267" s="50">
        <v>0</v>
      </c>
      <c r="O267" s="51">
        <f>tablet[[#This Row],[qtyEd2025]]*tablet[[#This Row],[hargaSatuan]]</f>
        <v>0</v>
      </c>
      <c r="P267" s="50">
        <v>0</v>
      </c>
      <c r="Q267" s="52">
        <f>tablet[[#This Row],[qtySaldoAkhir2025]]*tablet[[#This Row],[hargaSatuan]]</f>
        <v>0</v>
      </c>
      <c r="S267" s="32">
        <f t="shared" si="8"/>
        <v>0</v>
      </c>
      <c r="T267" s="32">
        <f t="shared" si="9"/>
        <v>0</v>
      </c>
    </row>
    <row r="268" spans="1:59" ht="14.4" x14ac:dyDescent="0.3">
      <c r="A268" s="44">
        <v>259</v>
      </c>
      <c r="B268" s="45" t="s">
        <v>381</v>
      </c>
      <c r="C268" s="46" t="s">
        <v>218</v>
      </c>
      <c r="D268" s="47" t="s">
        <v>383</v>
      </c>
      <c r="E268" s="48">
        <v>45748</v>
      </c>
      <c r="F268" s="49">
        <v>663</v>
      </c>
      <c r="G268" s="45" t="s">
        <v>40</v>
      </c>
      <c r="H268" s="50">
        <v>22450</v>
      </c>
      <c r="I268" s="49">
        <f>tablet[[#This Row],[qtySaldoAwalSem1]]*tablet[[#This Row],[hargaSatuan]]</f>
        <v>14884350</v>
      </c>
      <c r="J268" s="50">
        <v>0</v>
      </c>
      <c r="K268" s="51">
        <f>tablet[[#This Row],[qtyTerima2025]]*tablet[[#This Row],[hargaSatuan]]</f>
        <v>0</v>
      </c>
      <c r="L268" s="50">
        <v>21550</v>
      </c>
      <c r="M268" s="51">
        <f>tablet[[#This Row],[qtyDist2025]]*tablet[[#This Row],[hargaSatuan]]</f>
        <v>14287650</v>
      </c>
      <c r="N268" s="50">
        <v>900</v>
      </c>
      <c r="O268" s="51">
        <f>tablet[[#This Row],[qtyEd2025]]*tablet[[#This Row],[hargaSatuan]]</f>
        <v>596700</v>
      </c>
      <c r="P268" s="50">
        <v>0</v>
      </c>
      <c r="Q268" s="52">
        <f>tablet[[#This Row],[qtySaldoAkhir2025]]*tablet[[#This Row],[hargaSatuan]]</f>
        <v>0</v>
      </c>
      <c r="S268" s="32">
        <f t="shared" si="8"/>
        <v>0</v>
      </c>
      <c r="T268" s="32">
        <f t="shared" si="9"/>
        <v>0</v>
      </c>
      <c r="W268" s="53"/>
    </row>
    <row r="269" spans="1:59" ht="14.4" x14ac:dyDescent="0.3">
      <c r="A269" s="44">
        <v>260</v>
      </c>
      <c r="B269" s="45" t="s">
        <v>381</v>
      </c>
      <c r="C269" s="46" t="s">
        <v>218</v>
      </c>
      <c r="D269" s="47" t="s">
        <v>384</v>
      </c>
      <c r="E269" s="48">
        <v>45778</v>
      </c>
      <c r="F269" s="49">
        <v>934</v>
      </c>
      <c r="G269" s="45" t="s">
        <v>40</v>
      </c>
      <c r="H269" s="50">
        <v>0</v>
      </c>
      <c r="I269" s="49">
        <f>tablet[[#This Row],[qtySaldoAwalSem1]]*tablet[[#This Row],[hargaSatuan]]</f>
        <v>0</v>
      </c>
      <c r="J269" s="50">
        <v>45000</v>
      </c>
      <c r="K269" s="51">
        <f>tablet[[#This Row],[qtyTerima2025]]*tablet[[#This Row],[hargaSatuan]]</f>
        <v>42030000</v>
      </c>
      <c r="L269" s="50">
        <v>8000</v>
      </c>
      <c r="M269" s="51">
        <f>tablet[[#This Row],[qtyDist2025]]*tablet[[#This Row],[hargaSatuan]]</f>
        <v>7472000</v>
      </c>
      <c r="N269" s="50">
        <v>0</v>
      </c>
      <c r="O269" s="51">
        <f>tablet[[#This Row],[qtyEd2025]]*tablet[[#This Row],[hargaSatuan]]</f>
        <v>0</v>
      </c>
      <c r="P269" s="50">
        <v>37000</v>
      </c>
      <c r="Q269" s="52">
        <f>tablet[[#This Row],[qtySaldoAkhir2025]]*tablet[[#This Row],[hargaSatuan]]</f>
        <v>34558000</v>
      </c>
      <c r="S269" s="32">
        <f t="shared" si="8"/>
        <v>34558000</v>
      </c>
      <c r="T269" s="32">
        <f t="shared" si="9"/>
        <v>0</v>
      </c>
      <c r="W269" s="53"/>
    </row>
    <row r="270" spans="1:59" ht="14.4" x14ac:dyDescent="0.3">
      <c r="A270" s="44">
        <v>261</v>
      </c>
      <c r="B270" s="45" t="s">
        <v>385</v>
      </c>
      <c r="C270" s="46" t="s">
        <v>52</v>
      </c>
      <c r="D270" s="47">
        <v>26501310</v>
      </c>
      <c r="E270" s="48">
        <v>45931</v>
      </c>
      <c r="F270" s="49">
        <v>97</v>
      </c>
      <c r="G270" s="45" t="s">
        <v>54</v>
      </c>
      <c r="H270" s="50">
        <v>51800</v>
      </c>
      <c r="I270" s="49">
        <f>tablet[[#This Row],[qtySaldoAwalSem1]]*tablet[[#This Row],[hargaSatuan]]</f>
        <v>5024600</v>
      </c>
      <c r="J270" s="50">
        <v>0</v>
      </c>
      <c r="K270" s="51">
        <f>tablet[[#This Row],[qtyTerima2025]]*tablet[[#This Row],[hargaSatuan]]</f>
        <v>0</v>
      </c>
      <c r="L270" s="50">
        <v>51800</v>
      </c>
      <c r="M270" s="51">
        <f>tablet[[#This Row],[qtyDist2025]]*tablet[[#This Row],[hargaSatuan]]</f>
        <v>5024600</v>
      </c>
      <c r="N270" s="50">
        <v>0</v>
      </c>
      <c r="O270" s="51">
        <f>tablet[[#This Row],[qtyEd2025]]*tablet[[#This Row],[hargaSatuan]]</f>
        <v>0</v>
      </c>
      <c r="P270" s="50">
        <v>0</v>
      </c>
      <c r="Q270" s="52">
        <f>tablet[[#This Row],[qtySaldoAkhir2025]]*tablet[[#This Row],[hargaSatuan]]</f>
        <v>0</v>
      </c>
      <c r="S270" s="32">
        <f t="shared" si="8"/>
        <v>0</v>
      </c>
      <c r="T270" s="32">
        <f t="shared" si="9"/>
        <v>0</v>
      </c>
    </row>
    <row r="271" spans="1:59" ht="14.4" x14ac:dyDescent="0.3">
      <c r="A271" s="44">
        <v>262</v>
      </c>
      <c r="B271" s="45" t="s">
        <v>386</v>
      </c>
      <c r="C271" s="46" t="s">
        <v>52</v>
      </c>
      <c r="D271" s="47" t="s">
        <v>387</v>
      </c>
      <c r="E271" s="48">
        <v>46478</v>
      </c>
      <c r="F271" s="49">
        <v>89</v>
      </c>
      <c r="G271" s="45" t="s">
        <v>54</v>
      </c>
      <c r="H271" s="50">
        <v>51700</v>
      </c>
      <c r="I271" s="49">
        <f>tablet[[#This Row],[qtySaldoAwalSem1]]*tablet[[#This Row],[hargaSatuan]]</f>
        <v>4601300</v>
      </c>
      <c r="J271" s="50">
        <v>0</v>
      </c>
      <c r="K271" s="51">
        <f>tablet[[#This Row],[qtyTerima2025]]*tablet[[#This Row],[hargaSatuan]]</f>
        <v>0</v>
      </c>
      <c r="L271" s="50">
        <v>51700</v>
      </c>
      <c r="M271" s="51">
        <f>tablet[[#This Row],[qtyDist2025]]*tablet[[#This Row],[hargaSatuan]]</f>
        <v>4601300</v>
      </c>
      <c r="N271" s="50">
        <v>0</v>
      </c>
      <c r="O271" s="51">
        <f>tablet[[#This Row],[qtyEd2025]]*tablet[[#This Row],[hargaSatuan]]</f>
        <v>0</v>
      </c>
      <c r="P271" s="50">
        <v>0</v>
      </c>
      <c r="Q271" s="52">
        <f>tablet[[#This Row],[qtySaldoAkhir2025]]*tablet[[#This Row],[hargaSatuan]]</f>
        <v>0</v>
      </c>
      <c r="S271" s="32">
        <f t="shared" si="8"/>
        <v>0</v>
      </c>
      <c r="T271" s="32">
        <f t="shared" si="9"/>
        <v>0</v>
      </c>
    </row>
    <row r="272" spans="1:59" ht="14.4" x14ac:dyDescent="0.3">
      <c r="A272" s="44">
        <v>263</v>
      </c>
      <c r="B272" s="45" t="s">
        <v>388</v>
      </c>
      <c r="C272" s="46" t="s">
        <v>47</v>
      </c>
      <c r="D272" s="47">
        <v>66847005</v>
      </c>
      <c r="E272" s="48">
        <v>45869</v>
      </c>
      <c r="F272" s="49">
        <v>395</v>
      </c>
      <c r="G272" s="45" t="s">
        <v>40</v>
      </c>
      <c r="H272" s="50">
        <v>0</v>
      </c>
      <c r="I272" s="49">
        <f>tablet[[#This Row],[qtySaldoAwalSem1]]*tablet[[#This Row],[hargaSatuan]]</f>
        <v>0</v>
      </c>
      <c r="J272" s="50">
        <v>200</v>
      </c>
      <c r="K272" s="51">
        <f>tablet[[#This Row],[qtyTerima2025]]*tablet[[#This Row],[hargaSatuan]]</f>
        <v>79000</v>
      </c>
      <c r="L272" s="50">
        <v>200</v>
      </c>
      <c r="M272" s="51">
        <f>tablet[[#This Row],[qtyDist2025]]*tablet[[#This Row],[hargaSatuan]]</f>
        <v>79000</v>
      </c>
      <c r="N272" s="50">
        <v>0</v>
      </c>
      <c r="O272" s="51">
        <f>tablet[[#This Row],[qtyEd2025]]*tablet[[#This Row],[hargaSatuan]]</f>
        <v>0</v>
      </c>
      <c r="P272" s="50">
        <v>0</v>
      </c>
      <c r="Q272" s="52">
        <f>tablet[[#This Row],[qtySaldoAkhir2025]]*tablet[[#This Row],[hargaSatuan]]</f>
        <v>0</v>
      </c>
      <c r="R272" s="53"/>
      <c r="S272" s="32">
        <f t="shared" si="8"/>
        <v>0</v>
      </c>
      <c r="T272" s="32">
        <f t="shared" si="9"/>
        <v>0</v>
      </c>
      <c r="U272" s="53"/>
      <c r="V272" s="53"/>
      <c r="X272" s="53"/>
      <c r="Y272" s="53"/>
      <c r="Z272" s="53"/>
      <c r="AA272" s="53"/>
      <c r="AB272" s="53"/>
      <c r="AC272" s="53"/>
      <c r="AD272" s="53"/>
      <c r="AE272" s="53"/>
      <c r="AF272" s="53"/>
      <c r="AG272" s="53"/>
      <c r="AH272" s="53"/>
      <c r="AI272" s="53"/>
      <c r="AJ272" s="53"/>
      <c r="AK272" s="53"/>
      <c r="AL272" s="53"/>
      <c r="AM272" s="53"/>
      <c r="AN272" s="53"/>
      <c r="AO272" s="53"/>
      <c r="AP272" s="53"/>
      <c r="AQ272" s="53"/>
      <c r="AR272" s="53"/>
      <c r="AS272" s="53"/>
      <c r="AT272" s="53"/>
      <c r="AU272" s="53"/>
      <c r="AV272" s="53"/>
      <c r="AW272" s="53"/>
      <c r="AX272" s="53"/>
      <c r="AY272" s="53"/>
      <c r="AZ272" s="53"/>
      <c r="BA272" s="53"/>
      <c r="BB272" s="53"/>
      <c r="BC272" s="53"/>
      <c r="BD272" s="53"/>
      <c r="BE272" s="53"/>
      <c r="BF272" s="53"/>
      <c r="BG272" s="53"/>
    </row>
    <row r="273" spans="1:59" ht="14.4" x14ac:dyDescent="0.3">
      <c r="A273" s="44">
        <v>264</v>
      </c>
      <c r="B273" s="45" t="s">
        <v>388</v>
      </c>
      <c r="C273" s="46" t="s">
        <v>47</v>
      </c>
      <c r="D273" s="47">
        <v>76847004</v>
      </c>
      <c r="E273" s="48">
        <v>46094</v>
      </c>
      <c r="F273" s="49">
        <v>400</v>
      </c>
      <c r="G273" s="45" t="s">
        <v>40</v>
      </c>
      <c r="H273" s="50">
        <v>0</v>
      </c>
      <c r="I273" s="49">
        <f>tablet[[#This Row],[qtySaldoAwalSem1]]*tablet[[#This Row],[hargaSatuan]]</f>
        <v>0</v>
      </c>
      <c r="J273" s="50">
        <v>1400</v>
      </c>
      <c r="K273" s="51">
        <f>tablet[[#This Row],[qtyTerima2025]]*tablet[[#This Row],[hargaSatuan]]</f>
        <v>560000</v>
      </c>
      <c r="L273" s="50">
        <v>1400</v>
      </c>
      <c r="M273" s="51">
        <f>tablet[[#This Row],[qtyDist2025]]*tablet[[#This Row],[hargaSatuan]]</f>
        <v>560000</v>
      </c>
      <c r="N273" s="50">
        <v>0</v>
      </c>
      <c r="O273" s="51">
        <f>tablet[[#This Row],[qtyEd2025]]*tablet[[#This Row],[hargaSatuan]]</f>
        <v>0</v>
      </c>
      <c r="P273" s="50">
        <v>0</v>
      </c>
      <c r="Q273" s="52">
        <f>tablet[[#This Row],[qtySaldoAkhir2025]]*tablet[[#This Row],[hargaSatuan]]</f>
        <v>0</v>
      </c>
      <c r="R273" s="53"/>
      <c r="S273" s="32">
        <f t="shared" si="8"/>
        <v>0</v>
      </c>
      <c r="T273" s="32">
        <f t="shared" si="9"/>
        <v>0</v>
      </c>
      <c r="U273" s="53"/>
      <c r="V273" s="53"/>
      <c r="X273" s="53"/>
      <c r="Y273" s="53"/>
      <c r="Z273" s="53"/>
      <c r="AA273" s="53"/>
      <c r="AB273" s="53"/>
      <c r="AC273" s="53"/>
      <c r="AD273" s="53"/>
      <c r="AE273" s="53"/>
      <c r="AF273" s="53"/>
      <c r="AG273" s="53"/>
      <c r="AH273" s="53"/>
      <c r="AI273" s="53"/>
      <c r="AJ273" s="53"/>
      <c r="AK273" s="53"/>
      <c r="AL273" s="53"/>
      <c r="AM273" s="53"/>
      <c r="AN273" s="53"/>
      <c r="AO273" s="53"/>
      <c r="AP273" s="53"/>
      <c r="AQ273" s="53"/>
      <c r="AR273" s="53"/>
      <c r="AS273" s="53"/>
      <c r="AT273" s="53"/>
      <c r="AU273" s="53"/>
      <c r="AV273" s="53"/>
      <c r="AW273" s="53"/>
      <c r="AX273" s="53"/>
      <c r="AY273" s="53"/>
      <c r="AZ273" s="53"/>
      <c r="BA273" s="53"/>
      <c r="BB273" s="53"/>
      <c r="BC273" s="53"/>
      <c r="BD273" s="53"/>
      <c r="BE273" s="53"/>
      <c r="BF273" s="53"/>
      <c r="BG273" s="53"/>
    </row>
    <row r="274" spans="1:59" ht="14.4" x14ac:dyDescent="0.3">
      <c r="A274" s="44">
        <v>265</v>
      </c>
      <c r="B274" s="45" t="s">
        <v>388</v>
      </c>
      <c r="C274" s="46" t="s">
        <v>47</v>
      </c>
      <c r="D274" s="47">
        <v>76847009</v>
      </c>
      <c r="E274" s="48">
        <v>46099</v>
      </c>
      <c r="F274" s="49">
        <v>400</v>
      </c>
      <c r="G274" s="45" t="s">
        <v>40</v>
      </c>
      <c r="H274" s="50">
        <v>0</v>
      </c>
      <c r="I274" s="49">
        <f>tablet[[#This Row],[qtySaldoAwalSem1]]*tablet[[#This Row],[hargaSatuan]]</f>
        <v>0</v>
      </c>
      <c r="J274" s="50">
        <v>200</v>
      </c>
      <c r="K274" s="51">
        <f>tablet[[#This Row],[qtyTerima2025]]*tablet[[#This Row],[hargaSatuan]]</f>
        <v>80000</v>
      </c>
      <c r="L274" s="50">
        <v>200</v>
      </c>
      <c r="M274" s="51">
        <f>tablet[[#This Row],[qtyDist2025]]*tablet[[#This Row],[hargaSatuan]]</f>
        <v>80000</v>
      </c>
      <c r="N274" s="50">
        <v>0</v>
      </c>
      <c r="O274" s="51">
        <f>tablet[[#This Row],[qtyEd2025]]*tablet[[#This Row],[hargaSatuan]]</f>
        <v>0</v>
      </c>
      <c r="P274" s="50">
        <v>0</v>
      </c>
      <c r="Q274" s="52">
        <f>tablet[[#This Row],[qtySaldoAkhir2025]]*tablet[[#This Row],[hargaSatuan]]</f>
        <v>0</v>
      </c>
      <c r="S274" s="32">
        <f t="shared" si="8"/>
        <v>0</v>
      </c>
      <c r="T274" s="32">
        <f t="shared" si="9"/>
        <v>0</v>
      </c>
    </row>
    <row r="275" spans="1:59" ht="14.4" x14ac:dyDescent="0.3">
      <c r="A275" s="44">
        <v>266</v>
      </c>
      <c r="B275" s="45" t="s">
        <v>389</v>
      </c>
      <c r="C275" s="46" t="s">
        <v>52</v>
      </c>
      <c r="D275" s="47">
        <v>29801403</v>
      </c>
      <c r="E275" s="48">
        <v>46082</v>
      </c>
      <c r="F275" s="49">
        <v>223</v>
      </c>
      <c r="G275" s="45" t="s">
        <v>54</v>
      </c>
      <c r="H275" s="50">
        <v>39700</v>
      </c>
      <c r="I275" s="49">
        <f>tablet[[#This Row],[qtySaldoAwalSem1]]*tablet[[#This Row],[hargaSatuan]]</f>
        <v>8853100</v>
      </c>
      <c r="J275" s="50">
        <v>0</v>
      </c>
      <c r="K275" s="51">
        <f>tablet[[#This Row],[qtyTerima2025]]*tablet[[#This Row],[hargaSatuan]]</f>
        <v>0</v>
      </c>
      <c r="L275" s="50">
        <v>39700</v>
      </c>
      <c r="M275" s="51">
        <f>tablet[[#This Row],[qtyDist2025]]*tablet[[#This Row],[hargaSatuan]]</f>
        <v>8853100</v>
      </c>
      <c r="N275" s="50">
        <v>0</v>
      </c>
      <c r="O275" s="51">
        <f>tablet[[#This Row],[qtyEd2025]]*tablet[[#This Row],[hargaSatuan]]</f>
        <v>0</v>
      </c>
      <c r="P275" s="50">
        <v>0</v>
      </c>
      <c r="Q275" s="52">
        <f>tablet[[#This Row],[qtySaldoAkhir2025]]*tablet[[#This Row],[hargaSatuan]]</f>
        <v>0</v>
      </c>
      <c r="S275" s="32">
        <f t="shared" si="8"/>
        <v>0</v>
      </c>
      <c r="T275" s="32">
        <f t="shared" si="9"/>
        <v>0</v>
      </c>
    </row>
    <row r="276" spans="1:59" ht="14.4" x14ac:dyDescent="0.3">
      <c r="A276" s="44">
        <v>267</v>
      </c>
      <c r="B276" s="45" t="s">
        <v>389</v>
      </c>
      <c r="C276" s="46" t="s">
        <v>47</v>
      </c>
      <c r="D276" s="47">
        <v>29801508</v>
      </c>
      <c r="E276" s="48">
        <v>46600</v>
      </c>
      <c r="F276" s="49">
        <v>259</v>
      </c>
      <c r="G276" s="45" t="s">
        <v>18</v>
      </c>
      <c r="H276" s="50">
        <v>0</v>
      </c>
      <c r="I276" s="49">
        <f>tablet[[#This Row],[qtySaldoAwalSem1]]*tablet[[#This Row],[hargaSatuan]]</f>
        <v>0</v>
      </c>
      <c r="J276" s="50">
        <v>7800</v>
      </c>
      <c r="K276" s="51">
        <f>tablet[[#This Row],[qtyTerima2025]]*tablet[[#This Row],[hargaSatuan]]</f>
        <v>2020200</v>
      </c>
      <c r="L276" s="50">
        <v>7800</v>
      </c>
      <c r="M276" s="51">
        <f>tablet[[#This Row],[qtyDist2025]]*tablet[[#This Row],[hargaSatuan]]</f>
        <v>2020200</v>
      </c>
      <c r="N276" s="50">
        <v>0</v>
      </c>
      <c r="O276" s="51">
        <f>tablet[[#This Row],[qtyEd2025]]*tablet[[#This Row],[hargaSatuan]]</f>
        <v>0</v>
      </c>
      <c r="P276" s="50">
        <v>0</v>
      </c>
      <c r="Q276" s="52">
        <f>tablet[[#This Row],[qtySaldoAkhir2025]]*tablet[[#This Row],[hargaSatuan]]</f>
        <v>0</v>
      </c>
      <c r="S276" s="32">
        <f t="shared" si="8"/>
        <v>0</v>
      </c>
      <c r="T276" s="32">
        <f t="shared" si="9"/>
        <v>0</v>
      </c>
    </row>
    <row r="277" spans="1:59" ht="14.4" x14ac:dyDescent="0.3">
      <c r="A277" s="44">
        <v>268</v>
      </c>
      <c r="B277" s="45" t="s">
        <v>389</v>
      </c>
      <c r="C277" s="46" t="s">
        <v>47</v>
      </c>
      <c r="D277" s="47">
        <v>29802508</v>
      </c>
      <c r="E277" s="48">
        <v>46600</v>
      </c>
      <c r="F277" s="49">
        <v>259</v>
      </c>
      <c r="G277" s="45" t="s">
        <v>18</v>
      </c>
      <c r="H277" s="50">
        <v>0</v>
      </c>
      <c r="I277" s="49">
        <f>tablet[[#This Row],[qtySaldoAwalSem1]]*tablet[[#This Row],[hargaSatuan]]</f>
        <v>0</v>
      </c>
      <c r="J277" s="50">
        <v>43800</v>
      </c>
      <c r="K277" s="51">
        <f>tablet[[#This Row],[qtyTerima2025]]*tablet[[#This Row],[hargaSatuan]]</f>
        <v>11344200</v>
      </c>
      <c r="L277" s="50">
        <v>36100</v>
      </c>
      <c r="M277" s="51">
        <f>tablet[[#This Row],[qtyDist2025]]*tablet[[#This Row],[hargaSatuan]]</f>
        <v>9349900</v>
      </c>
      <c r="N277" s="50">
        <v>0</v>
      </c>
      <c r="O277" s="51">
        <f>tablet[[#This Row],[qtyEd2025]]*tablet[[#This Row],[hargaSatuan]]</f>
        <v>0</v>
      </c>
      <c r="P277" s="50">
        <v>7700</v>
      </c>
      <c r="Q277" s="52">
        <f>tablet[[#This Row],[qtySaldoAkhir2025]]*tablet[[#This Row],[hargaSatuan]]</f>
        <v>1994300</v>
      </c>
      <c r="S277" s="32">
        <f t="shared" si="8"/>
        <v>1994300</v>
      </c>
      <c r="T277" s="32">
        <f t="shared" si="9"/>
        <v>0</v>
      </c>
    </row>
    <row r="278" spans="1:59" ht="14.4" x14ac:dyDescent="0.3">
      <c r="A278" s="44">
        <v>269</v>
      </c>
      <c r="B278" s="45" t="s">
        <v>390</v>
      </c>
      <c r="C278" s="46" t="s">
        <v>52</v>
      </c>
      <c r="D278" s="47">
        <v>21315506</v>
      </c>
      <c r="E278" s="48">
        <v>46568</v>
      </c>
      <c r="F278" s="49">
        <v>109</v>
      </c>
      <c r="G278" s="45" t="s">
        <v>18</v>
      </c>
      <c r="H278" s="50">
        <v>0</v>
      </c>
      <c r="I278" s="49">
        <f>tablet[[#This Row],[qtySaldoAwalSem1]]*tablet[[#This Row],[hargaSatuan]]</f>
        <v>0</v>
      </c>
      <c r="J278" s="50">
        <v>10000</v>
      </c>
      <c r="K278" s="51">
        <f>tablet[[#This Row],[qtyTerima2025]]*tablet[[#This Row],[hargaSatuan]]</f>
        <v>1090000</v>
      </c>
      <c r="L278" s="50">
        <v>10000</v>
      </c>
      <c r="M278" s="51">
        <f>tablet[[#This Row],[qtyDist2025]]*tablet[[#This Row],[hargaSatuan]]</f>
        <v>1090000</v>
      </c>
      <c r="N278" s="50">
        <v>0</v>
      </c>
      <c r="O278" s="51">
        <f>tablet[[#This Row],[qtyEd2025]]*tablet[[#This Row],[hargaSatuan]]</f>
        <v>0</v>
      </c>
      <c r="P278" s="50">
        <v>0</v>
      </c>
      <c r="Q278" s="52">
        <f>tablet[[#This Row],[qtySaldoAkhir2025]]*tablet[[#This Row],[hargaSatuan]]</f>
        <v>0</v>
      </c>
      <c r="S278" s="32">
        <f t="shared" si="8"/>
        <v>0</v>
      </c>
      <c r="T278" s="32">
        <f t="shared" si="9"/>
        <v>0</v>
      </c>
    </row>
    <row r="279" spans="1:59" ht="14.4" x14ac:dyDescent="0.3">
      <c r="A279" s="44">
        <v>270</v>
      </c>
      <c r="B279" s="45" t="s">
        <v>390</v>
      </c>
      <c r="C279" s="46" t="s">
        <v>52</v>
      </c>
      <c r="D279" s="47" t="s">
        <v>391</v>
      </c>
      <c r="E279" s="48">
        <v>46661</v>
      </c>
      <c r="F279" s="49">
        <v>206.46</v>
      </c>
      <c r="G279" s="45" t="s">
        <v>18</v>
      </c>
      <c r="H279" s="50">
        <v>0</v>
      </c>
      <c r="I279" s="49">
        <f>tablet[[#This Row],[qtySaldoAwalSem1]]*tablet[[#This Row],[hargaSatuan]]</f>
        <v>0</v>
      </c>
      <c r="J279" s="50">
        <v>30000</v>
      </c>
      <c r="K279" s="51">
        <f>tablet[[#This Row],[qtyTerima2025]]*tablet[[#This Row],[hargaSatuan]]</f>
        <v>6193800</v>
      </c>
      <c r="L279" s="50">
        <v>0</v>
      </c>
      <c r="M279" s="51">
        <f>tablet[[#This Row],[qtyDist2025]]*tablet[[#This Row],[hargaSatuan]]</f>
        <v>0</v>
      </c>
      <c r="N279" s="50">
        <v>0</v>
      </c>
      <c r="O279" s="51">
        <f>tablet[[#This Row],[qtyEd2025]]*tablet[[#This Row],[hargaSatuan]]</f>
        <v>0</v>
      </c>
      <c r="P279" s="50">
        <v>30000</v>
      </c>
      <c r="Q279" s="52">
        <f>tablet[[#This Row],[qtySaldoAkhir2025]]*tablet[[#This Row],[hargaSatuan]]</f>
        <v>6193800</v>
      </c>
      <c r="S279" s="32">
        <f t="shared" si="8"/>
        <v>6193800</v>
      </c>
      <c r="T279" s="32">
        <f t="shared" si="9"/>
        <v>0</v>
      </c>
    </row>
    <row r="280" spans="1:59" ht="14.4" x14ac:dyDescent="0.3">
      <c r="A280" s="44">
        <v>271</v>
      </c>
      <c r="B280" s="45" t="s">
        <v>392</v>
      </c>
      <c r="C280" s="46" t="s">
        <v>52</v>
      </c>
      <c r="D280" s="47">
        <v>56381007</v>
      </c>
      <c r="E280" s="48">
        <v>45931</v>
      </c>
      <c r="F280" s="49">
        <v>854.7</v>
      </c>
      <c r="G280" s="45" t="s">
        <v>54</v>
      </c>
      <c r="H280" s="50">
        <v>11800</v>
      </c>
      <c r="I280" s="49">
        <f>tablet[[#This Row],[qtySaldoAwalSem1]]*tablet[[#This Row],[hargaSatuan]]</f>
        <v>10085460</v>
      </c>
      <c r="J280" s="50">
        <v>0</v>
      </c>
      <c r="K280" s="51">
        <f>tablet[[#This Row],[qtyTerima2025]]*tablet[[#This Row],[hargaSatuan]]</f>
        <v>0</v>
      </c>
      <c r="L280" s="50">
        <v>5200</v>
      </c>
      <c r="M280" s="51">
        <f>tablet[[#This Row],[qtyDist2025]]*tablet[[#This Row],[hargaSatuan]]</f>
        <v>4444440</v>
      </c>
      <c r="N280" s="50">
        <v>6600</v>
      </c>
      <c r="O280" s="51">
        <f>tablet[[#This Row],[qtyEd2025]]*tablet[[#This Row],[hargaSatuan]]</f>
        <v>5641020</v>
      </c>
      <c r="P280" s="50">
        <v>0</v>
      </c>
      <c r="Q280" s="52">
        <f>tablet[[#This Row],[qtySaldoAkhir2025]]*tablet[[#This Row],[hargaSatuan]]</f>
        <v>0</v>
      </c>
      <c r="S280" s="32">
        <f t="shared" si="8"/>
        <v>0</v>
      </c>
      <c r="T280" s="32">
        <f t="shared" si="9"/>
        <v>0</v>
      </c>
    </row>
    <row r="281" spans="1:59" ht="14.4" x14ac:dyDescent="0.3">
      <c r="A281" s="44">
        <v>272</v>
      </c>
      <c r="B281" s="45" t="s">
        <v>393</v>
      </c>
      <c r="C281" s="46" t="s">
        <v>38</v>
      </c>
      <c r="D281" s="47" t="s">
        <v>394</v>
      </c>
      <c r="E281" s="48">
        <v>45870</v>
      </c>
      <c r="F281" s="49">
        <v>246000</v>
      </c>
      <c r="G281" s="45" t="s">
        <v>40</v>
      </c>
      <c r="H281" s="50">
        <v>51</v>
      </c>
      <c r="I281" s="49">
        <f>tablet[[#This Row],[qtySaldoAwalSem1]]*tablet[[#This Row],[hargaSatuan]]</f>
        <v>12546000</v>
      </c>
      <c r="J281" s="50">
        <v>0</v>
      </c>
      <c r="K281" s="51">
        <f>tablet[[#This Row],[qtyTerima2025]]*tablet[[#This Row],[hargaSatuan]]</f>
        <v>0</v>
      </c>
      <c r="L281" s="50">
        <v>51</v>
      </c>
      <c r="M281" s="51">
        <f>tablet[[#This Row],[qtyDist2025]]*tablet[[#This Row],[hargaSatuan]]</f>
        <v>12546000</v>
      </c>
      <c r="N281" s="50">
        <v>0</v>
      </c>
      <c r="O281" s="51">
        <f>tablet[[#This Row],[qtyEd2025]]*tablet[[#This Row],[hargaSatuan]]</f>
        <v>0</v>
      </c>
      <c r="P281" s="50">
        <v>0</v>
      </c>
      <c r="Q281" s="52">
        <f>tablet[[#This Row],[qtySaldoAkhir2025]]*tablet[[#This Row],[hargaSatuan]]</f>
        <v>0</v>
      </c>
      <c r="S281" s="32">
        <f t="shared" si="8"/>
        <v>0</v>
      </c>
      <c r="T281" s="32">
        <f t="shared" si="9"/>
        <v>0</v>
      </c>
    </row>
    <row r="282" spans="1:59" ht="14.4" x14ac:dyDescent="0.3">
      <c r="A282" s="44">
        <v>273</v>
      </c>
      <c r="B282" s="45" t="s">
        <v>393</v>
      </c>
      <c r="C282" s="46" t="s">
        <v>38</v>
      </c>
      <c r="D282" s="47" t="s">
        <v>394</v>
      </c>
      <c r="E282" s="48">
        <v>45900</v>
      </c>
      <c r="F282" s="49">
        <v>246000</v>
      </c>
      <c r="G282" s="45" t="s">
        <v>40</v>
      </c>
      <c r="H282" s="50">
        <v>0</v>
      </c>
      <c r="I282" s="49">
        <f>tablet[[#This Row],[qtySaldoAwalSem1]]*tablet[[#This Row],[hargaSatuan]]</f>
        <v>0</v>
      </c>
      <c r="J282" s="50">
        <v>114</v>
      </c>
      <c r="K282" s="51">
        <f>tablet[[#This Row],[qtyTerima2025]]*tablet[[#This Row],[hargaSatuan]]</f>
        <v>28044000</v>
      </c>
      <c r="L282" s="50">
        <v>77</v>
      </c>
      <c r="M282" s="51">
        <f>tablet[[#This Row],[qtyDist2025]]*tablet[[#This Row],[hargaSatuan]]</f>
        <v>18942000</v>
      </c>
      <c r="N282" s="50">
        <v>37</v>
      </c>
      <c r="O282" s="51">
        <f>tablet[[#This Row],[qtyEd2025]]*tablet[[#This Row],[hargaSatuan]]</f>
        <v>9102000</v>
      </c>
      <c r="P282" s="50">
        <v>0</v>
      </c>
      <c r="Q282" s="52">
        <f>tablet[[#This Row],[qtySaldoAkhir2025]]*tablet[[#This Row],[hargaSatuan]]</f>
        <v>0</v>
      </c>
      <c r="S282" s="32">
        <f t="shared" si="8"/>
        <v>0</v>
      </c>
      <c r="T282" s="32">
        <f t="shared" si="9"/>
        <v>0</v>
      </c>
    </row>
    <row r="283" spans="1:59" ht="14.4" x14ac:dyDescent="0.3">
      <c r="A283" s="44">
        <v>274</v>
      </c>
      <c r="B283" s="45" t="s">
        <v>393</v>
      </c>
      <c r="C283" s="46" t="s">
        <v>38</v>
      </c>
      <c r="D283" s="47" t="s">
        <v>395</v>
      </c>
      <c r="E283" s="48">
        <v>46691</v>
      </c>
      <c r="F283" s="49">
        <v>230880</v>
      </c>
      <c r="G283" s="45" t="s">
        <v>40</v>
      </c>
      <c r="H283" s="50">
        <v>0</v>
      </c>
      <c r="I283" s="49">
        <f>tablet[[#This Row],[qtySaldoAwalSem1]]*tablet[[#This Row],[hargaSatuan]]</f>
        <v>0</v>
      </c>
      <c r="J283" s="50">
        <v>20</v>
      </c>
      <c r="K283" s="51">
        <f>tablet[[#This Row],[qtyTerima2025]]*tablet[[#This Row],[hargaSatuan]]</f>
        <v>4617600</v>
      </c>
      <c r="L283" s="50">
        <v>17</v>
      </c>
      <c r="M283" s="51">
        <f>tablet[[#This Row],[qtyDist2025]]*tablet[[#This Row],[hargaSatuan]]</f>
        <v>3924960</v>
      </c>
      <c r="N283" s="50">
        <v>0</v>
      </c>
      <c r="O283" s="51">
        <f>tablet[[#This Row],[qtyEd2025]]*tablet[[#This Row],[hargaSatuan]]</f>
        <v>0</v>
      </c>
      <c r="P283" s="50">
        <v>3</v>
      </c>
      <c r="Q283" s="52">
        <f>tablet[[#This Row],[qtySaldoAkhir2025]]*tablet[[#This Row],[hargaSatuan]]</f>
        <v>692640</v>
      </c>
      <c r="S283" s="32">
        <f t="shared" si="8"/>
        <v>692640</v>
      </c>
      <c r="T283" s="32">
        <f t="shared" si="9"/>
        <v>0</v>
      </c>
    </row>
    <row r="284" spans="1:59" ht="14.4" x14ac:dyDescent="0.3">
      <c r="A284" s="44">
        <v>275</v>
      </c>
      <c r="B284" s="45" t="s">
        <v>393</v>
      </c>
      <c r="C284" s="46" t="s">
        <v>38</v>
      </c>
      <c r="D284" s="47" t="s">
        <v>396</v>
      </c>
      <c r="E284" s="48">
        <v>46812</v>
      </c>
      <c r="F284" s="49">
        <v>262080</v>
      </c>
      <c r="G284" s="45" t="s">
        <v>40</v>
      </c>
      <c r="H284" s="50">
        <v>0</v>
      </c>
      <c r="I284" s="49">
        <f>tablet[[#This Row],[qtySaldoAwalSem1]]*tablet[[#This Row],[hargaSatuan]]</f>
        <v>0</v>
      </c>
      <c r="J284" s="50">
        <v>17</v>
      </c>
      <c r="K284" s="51">
        <f>tablet[[#This Row],[qtyTerima2025]]*tablet[[#This Row],[hargaSatuan]]</f>
        <v>4455360</v>
      </c>
      <c r="L284" s="50">
        <v>0</v>
      </c>
      <c r="M284" s="51">
        <f>tablet[[#This Row],[qtyDist2025]]*tablet[[#This Row],[hargaSatuan]]</f>
        <v>0</v>
      </c>
      <c r="N284" s="50">
        <v>0</v>
      </c>
      <c r="O284" s="51">
        <f>tablet[[#This Row],[qtyEd2025]]*tablet[[#This Row],[hargaSatuan]]</f>
        <v>0</v>
      </c>
      <c r="P284" s="50">
        <v>17</v>
      </c>
      <c r="Q284" s="52">
        <f>tablet[[#This Row],[qtySaldoAkhir2025]]*tablet[[#This Row],[hargaSatuan]]</f>
        <v>4455360</v>
      </c>
      <c r="S284" s="32">
        <f t="shared" si="8"/>
        <v>4455360</v>
      </c>
      <c r="T284" s="32">
        <f t="shared" si="9"/>
        <v>0</v>
      </c>
    </row>
    <row r="285" spans="1:59" ht="14.4" x14ac:dyDescent="0.3">
      <c r="A285" s="44">
        <v>276</v>
      </c>
      <c r="B285" s="45" t="s">
        <v>393</v>
      </c>
      <c r="C285" s="46" t="s">
        <v>38</v>
      </c>
      <c r="D285" s="47" t="s">
        <v>397</v>
      </c>
      <c r="E285" s="48">
        <v>46812</v>
      </c>
      <c r="F285" s="49">
        <v>262080</v>
      </c>
      <c r="G285" s="45" t="s">
        <v>40</v>
      </c>
      <c r="H285" s="50">
        <v>0</v>
      </c>
      <c r="I285" s="49">
        <f>tablet[[#This Row],[qtySaldoAwalSem1]]*tablet[[#This Row],[hargaSatuan]]</f>
        <v>0</v>
      </c>
      <c r="J285" s="50">
        <v>13</v>
      </c>
      <c r="K285" s="51">
        <f>tablet[[#This Row],[qtyTerima2025]]*tablet[[#This Row],[hargaSatuan]]</f>
        <v>3407040</v>
      </c>
      <c r="L285" s="50">
        <v>0</v>
      </c>
      <c r="M285" s="51">
        <f>tablet[[#This Row],[qtyDist2025]]*tablet[[#This Row],[hargaSatuan]]</f>
        <v>0</v>
      </c>
      <c r="N285" s="50">
        <v>0</v>
      </c>
      <c r="O285" s="51">
        <f>tablet[[#This Row],[qtyEd2025]]*tablet[[#This Row],[hargaSatuan]]</f>
        <v>0</v>
      </c>
      <c r="P285" s="50">
        <v>13</v>
      </c>
      <c r="Q285" s="52">
        <f>tablet[[#This Row],[qtySaldoAkhir2025]]*tablet[[#This Row],[hargaSatuan]]</f>
        <v>3407040</v>
      </c>
      <c r="S285" s="32">
        <f t="shared" si="8"/>
        <v>3407040</v>
      </c>
      <c r="T285" s="32">
        <f t="shared" si="9"/>
        <v>0</v>
      </c>
    </row>
    <row r="286" spans="1:59" ht="14.4" x14ac:dyDescent="0.3">
      <c r="A286" s="44">
        <v>277</v>
      </c>
      <c r="B286" s="45" t="s">
        <v>398</v>
      </c>
      <c r="C286" s="46" t="s">
        <v>38</v>
      </c>
      <c r="D286" s="47" t="s">
        <v>399</v>
      </c>
      <c r="E286" s="48">
        <v>46388</v>
      </c>
      <c r="F286" s="49">
        <v>111960</v>
      </c>
      <c r="G286" s="45" t="s">
        <v>40</v>
      </c>
      <c r="H286" s="50">
        <v>10</v>
      </c>
      <c r="I286" s="49">
        <f>tablet[[#This Row],[qtySaldoAwalSem1]]*tablet[[#This Row],[hargaSatuan]]</f>
        <v>1119600</v>
      </c>
      <c r="J286" s="50">
        <v>30</v>
      </c>
      <c r="K286" s="51">
        <f>tablet[[#This Row],[qtyTerima2025]]*tablet[[#This Row],[hargaSatuan]]</f>
        <v>3358800</v>
      </c>
      <c r="L286" s="50">
        <v>40</v>
      </c>
      <c r="M286" s="51">
        <f>tablet[[#This Row],[qtyDist2025]]*tablet[[#This Row],[hargaSatuan]]</f>
        <v>4478400</v>
      </c>
      <c r="N286" s="50">
        <v>0</v>
      </c>
      <c r="O286" s="51">
        <f>tablet[[#This Row],[qtyEd2025]]*tablet[[#This Row],[hargaSatuan]]</f>
        <v>0</v>
      </c>
      <c r="P286" s="50">
        <v>0</v>
      </c>
      <c r="Q286" s="52">
        <f>tablet[[#This Row],[qtySaldoAkhir2025]]*tablet[[#This Row],[hargaSatuan]]</f>
        <v>0</v>
      </c>
      <c r="S286" s="32">
        <f t="shared" si="8"/>
        <v>0</v>
      </c>
      <c r="T286" s="32">
        <f t="shared" si="9"/>
        <v>0</v>
      </c>
    </row>
    <row r="287" spans="1:59" ht="14.4" x14ac:dyDescent="0.3">
      <c r="A287" s="44">
        <v>278</v>
      </c>
      <c r="B287" s="45" t="s">
        <v>400</v>
      </c>
      <c r="C287" s="46" t="s">
        <v>47</v>
      </c>
      <c r="D287" s="47" t="s">
        <v>401</v>
      </c>
      <c r="E287" s="48">
        <v>46073</v>
      </c>
      <c r="F287" s="49">
        <v>152</v>
      </c>
      <c r="G287" s="45" t="s">
        <v>40</v>
      </c>
      <c r="H287" s="50">
        <v>0</v>
      </c>
      <c r="I287" s="49">
        <f>tablet[[#This Row],[qtySaldoAwalSem1]]*tablet[[#This Row],[hargaSatuan]]</f>
        <v>0</v>
      </c>
      <c r="J287" s="50">
        <v>10000</v>
      </c>
      <c r="K287" s="51">
        <f>tablet[[#This Row],[qtyTerima2025]]*tablet[[#This Row],[hargaSatuan]]</f>
        <v>1520000</v>
      </c>
      <c r="L287" s="50">
        <v>10000</v>
      </c>
      <c r="M287" s="51">
        <f>tablet[[#This Row],[qtyDist2025]]*tablet[[#This Row],[hargaSatuan]]</f>
        <v>1520000</v>
      </c>
      <c r="N287" s="50">
        <v>0</v>
      </c>
      <c r="O287" s="51">
        <f>tablet[[#This Row],[qtyEd2025]]*tablet[[#This Row],[hargaSatuan]]</f>
        <v>0</v>
      </c>
      <c r="P287" s="50">
        <v>0</v>
      </c>
      <c r="Q287" s="52">
        <f>tablet[[#This Row],[qtySaldoAkhir2025]]*tablet[[#This Row],[hargaSatuan]]</f>
        <v>0</v>
      </c>
      <c r="S287" s="32">
        <f t="shared" si="8"/>
        <v>0</v>
      </c>
      <c r="T287" s="32">
        <f t="shared" si="9"/>
        <v>0</v>
      </c>
    </row>
    <row r="288" spans="1:59" ht="14.4" x14ac:dyDescent="0.3">
      <c r="A288" s="44">
        <v>279</v>
      </c>
      <c r="B288" s="45" t="s">
        <v>400</v>
      </c>
      <c r="C288" s="46" t="s">
        <v>47</v>
      </c>
      <c r="D288" s="47">
        <v>1410226</v>
      </c>
      <c r="E288" s="48">
        <v>46296</v>
      </c>
      <c r="F288" s="49">
        <v>134</v>
      </c>
      <c r="G288" s="45" t="s">
        <v>40</v>
      </c>
      <c r="H288" s="50">
        <v>0</v>
      </c>
      <c r="I288" s="49">
        <f>tablet[[#This Row],[qtySaldoAwalSem1]]*tablet[[#This Row],[hargaSatuan]]</f>
        <v>0</v>
      </c>
      <c r="J288" s="50">
        <v>20000</v>
      </c>
      <c r="K288" s="51">
        <f>tablet[[#This Row],[qtyTerima2025]]*tablet[[#This Row],[hargaSatuan]]</f>
        <v>2680000</v>
      </c>
      <c r="L288" s="50">
        <v>18100</v>
      </c>
      <c r="M288" s="51">
        <f>tablet[[#This Row],[qtyDist2025]]*tablet[[#This Row],[hargaSatuan]]</f>
        <v>2425400</v>
      </c>
      <c r="N288" s="50">
        <v>0</v>
      </c>
      <c r="O288" s="51">
        <f>tablet[[#This Row],[qtyEd2025]]*tablet[[#This Row],[hargaSatuan]]</f>
        <v>0</v>
      </c>
      <c r="P288" s="50">
        <v>1900</v>
      </c>
      <c r="Q288" s="52">
        <f>tablet[[#This Row],[qtySaldoAkhir2025]]*tablet[[#This Row],[hargaSatuan]]</f>
        <v>254600</v>
      </c>
      <c r="S288" s="32">
        <f t="shared" si="8"/>
        <v>254600</v>
      </c>
      <c r="T288" s="32">
        <f t="shared" si="9"/>
        <v>0</v>
      </c>
    </row>
    <row r="289" spans="1:20" ht="14.4" x14ac:dyDescent="0.3">
      <c r="A289" s="44">
        <v>280</v>
      </c>
      <c r="B289" s="45" t="s">
        <v>402</v>
      </c>
      <c r="C289" s="46" t="s">
        <v>52</v>
      </c>
      <c r="D289" s="47">
        <v>2509001</v>
      </c>
      <c r="E289" s="48">
        <v>46630</v>
      </c>
      <c r="F289" s="49">
        <v>255.3</v>
      </c>
      <c r="G289" s="45" t="s">
        <v>18</v>
      </c>
      <c r="H289" s="50">
        <v>0</v>
      </c>
      <c r="I289" s="49">
        <f>tablet[[#This Row],[qtySaldoAwalSem1]]*tablet[[#This Row],[hargaSatuan]]</f>
        <v>0</v>
      </c>
      <c r="J289" s="50">
        <v>40800</v>
      </c>
      <c r="K289" s="51">
        <f>tablet[[#This Row],[qtyTerima2025]]*tablet[[#This Row],[hargaSatuan]]</f>
        <v>10416240</v>
      </c>
      <c r="L289" s="50">
        <v>0</v>
      </c>
      <c r="M289" s="51">
        <f>tablet[[#This Row],[qtyDist2025]]*tablet[[#This Row],[hargaSatuan]]</f>
        <v>0</v>
      </c>
      <c r="N289" s="50">
        <v>0</v>
      </c>
      <c r="O289" s="51">
        <f>tablet[[#This Row],[qtyEd2025]]*tablet[[#This Row],[hargaSatuan]]</f>
        <v>0</v>
      </c>
      <c r="P289" s="50">
        <v>40800</v>
      </c>
      <c r="Q289" s="52">
        <f>tablet[[#This Row],[qtySaldoAkhir2025]]*tablet[[#This Row],[hargaSatuan]]</f>
        <v>10416240</v>
      </c>
      <c r="S289" s="32">
        <f t="shared" si="8"/>
        <v>10416240</v>
      </c>
      <c r="T289" s="32">
        <f t="shared" si="9"/>
        <v>0</v>
      </c>
    </row>
    <row r="290" spans="1:20" ht="14.4" x14ac:dyDescent="0.3">
      <c r="A290" s="44">
        <v>281</v>
      </c>
      <c r="B290" s="45" t="s">
        <v>403</v>
      </c>
      <c r="C290" s="46" t="s">
        <v>52</v>
      </c>
      <c r="D290" s="47" t="s">
        <v>404</v>
      </c>
      <c r="E290" s="48">
        <v>45931</v>
      </c>
      <c r="F290" s="49">
        <v>182</v>
      </c>
      <c r="G290" s="45" t="s">
        <v>43</v>
      </c>
      <c r="H290" s="50">
        <v>15200</v>
      </c>
      <c r="I290" s="49">
        <f>tablet[[#This Row],[qtySaldoAwalSem1]]*tablet[[#This Row],[hargaSatuan]]</f>
        <v>2766400</v>
      </c>
      <c r="J290" s="50">
        <v>0</v>
      </c>
      <c r="K290" s="51">
        <f>tablet[[#This Row],[qtyTerima2025]]*tablet[[#This Row],[hargaSatuan]]</f>
        <v>0</v>
      </c>
      <c r="L290" s="50">
        <v>15200</v>
      </c>
      <c r="M290" s="51">
        <f>tablet[[#This Row],[qtyDist2025]]*tablet[[#This Row],[hargaSatuan]]</f>
        <v>2766400</v>
      </c>
      <c r="N290" s="50">
        <v>0</v>
      </c>
      <c r="O290" s="51">
        <f>tablet[[#This Row],[qtyEd2025]]*tablet[[#This Row],[hargaSatuan]]</f>
        <v>0</v>
      </c>
      <c r="P290" s="50">
        <v>0</v>
      </c>
      <c r="Q290" s="52">
        <f>tablet[[#This Row],[qtySaldoAkhir2025]]*tablet[[#This Row],[hargaSatuan]]</f>
        <v>0</v>
      </c>
      <c r="S290" s="32">
        <f t="shared" si="8"/>
        <v>0</v>
      </c>
      <c r="T290" s="32">
        <f t="shared" si="9"/>
        <v>0</v>
      </c>
    </row>
    <row r="291" spans="1:20" ht="14.4" x14ac:dyDescent="0.3">
      <c r="A291" s="59">
        <v>282</v>
      </c>
      <c r="B291" s="60" t="s">
        <v>403</v>
      </c>
      <c r="C291" s="61" t="s">
        <v>52</v>
      </c>
      <c r="D291" s="62" t="s">
        <v>405</v>
      </c>
      <c r="E291" s="63">
        <v>46174</v>
      </c>
      <c r="F291" s="64">
        <v>157</v>
      </c>
      <c r="G291" s="60" t="s">
        <v>40</v>
      </c>
      <c r="H291" s="65">
        <v>1100</v>
      </c>
      <c r="I291" s="49">
        <f>tablet[[#This Row],[qtySaldoAwalSem1]]*tablet[[#This Row],[hargaSatuan]]</f>
        <v>172700</v>
      </c>
      <c r="J291" s="65">
        <v>0</v>
      </c>
      <c r="K291" s="51">
        <f>tablet[[#This Row],[qtyTerima2025]]*tablet[[#This Row],[hargaSatuan]]</f>
        <v>0</v>
      </c>
      <c r="L291" s="65">
        <v>1100</v>
      </c>
      <c r="M291" s="51">
        <f>tablet[[#This Row],[qtyDist2025]]*tablet[[#This Row],[hargaSatuan]]</f>
        <v>172700</v>
      </c>
      <c r="N291" s="65">
        <v>0</v>
      </c>
      <c r="O291" s="51">
        <f>tablet[[#This Row],[qtyEd2025]]*tablet[[#This Row],[hargaSatuan]]</f>
        <v>0</v>
      </c>
      <c r="P291" s="65">
        <v>0</v>
      </c>
      <c r="Q291" s="52">
        <f>tablet[[#This Row],[qtySaldoAkhir2025]]*tablet[[#This Row],[hargaSatuan]]</f>
        <v>0</v>
      </c>
      <c r="S291" s="32">
        <f t="shared" si="8"/>
        <v>0</v>
      </c>
      <c r="T291" s="32">
        <f t="shared" si="9"/>
        <v>0</v>
      </c>
    </row>
    <row r="292" spans="1:20" ht="14.4" x14ac:dyDescent="0.3">
      <c r="A292" s="26"/>
      <c r="B292" s="27" t="s">
        <v>406</v>
      </c>
      <c r="C292" s="26"/>
      <c r="D292" s="28"/>
      <c r="E292" s="29"/>
      <c r="F292" s="30"/>
      <c r="G292" s="27"/>
      <c r="H292" s="31"/>
      <c r="I292" s="30">
        <f>SUBTOTAL(9,Injeksi[nomSaldoAwalSem1])</f>
        <v>281878409</v>
      </c>
      <c r="J292" s="30"/>
      <c r="K292" s="30">
        <f>SUBTOTAL(9,Injeksi[nomTerima2025])</f>
        <v>238554734</v>
      </c>
      <c r="L292" s="30"/>
      <c r="M292" s="30">
        <f>SUBTOTAL(9,Injeksi[nomDist2025])</f>
        <v>204005330</v>
      </c>
      <c r="N292" s="30"/>
      <c r="O292" s="30">
        <f>SUBTOTAL(9,Injeksi[nomEd2025])</f>
        <v>130033525</v>
      </c>
      <c r="P292" s="30"/>
      <c r="Q292" s="30">
        <f>SUBTOTAL(9,Injeksi[nomSaldoAkhir2025])</f>
        <v>186394288</v>
      </c>
      <c r="S292" s="32">
        <f t="shared" si="8"/>
        <v>186394288</v>
      </c>
      <c r="T292" s="32">
        <f t="shared" si="9"/>
        <v>0</v>
      </c>
    </row>
    <row r="293" spans="1:20" ht="14.4" x14ac:dyDescent="0.3">
      <c r="A293" s="35" t="s">
        <v>19</v>
      </c>
      <c r="B293" s="36" t="s">
        <v>20</v>
      </c>
      <c r="C293" s="37" t="s">
        <v>21</v>
      </c>
      <c r="D293" s="38" t="s">
        <v>22</v>
      </c>
      <c r="E293" s="39" t="s">
        <v>23</v>
      </c>
      <c r="F293" s="40" t="s">
        <v>24</v>
      </c>
      <c r="G293" s="36" t="s">
        <v>25</v>
      </c>
      <c r="H293" s="41" t="s">
        <v>26</v>
      </c>
      <c r="I293" s="40" t="s">
        <v>27</v>
      </c>
      <c r="J293" s="41" t="s">
        <v>28</v>
      </c>
      <c r="K293" s="66" t="s">
        <v>29</v>
      </c>
      <c r="L293" s="41" t="s">
        <v>30</v>
      </c>
      <c r="M293" s="66" t="s">
        <v>31</v>
      </c>
      <c r="N293" s="41" t="s">
        <v>32</v>
      </c>
      <c r="O293" s="66" t="s">
        <v>33</v>
      </c>
      <c r="P293" s="41" t="s">
        <v>34</v>
      </c>
      <c r="Q293" s="67" t="s">
        <v>35</v>
      </c>
      <c r="S293" s="32">
        <f t="shared" si="8"/>
        <v>0</v>
      </c>
      <c r="T293" s="32">
        <f t="shared" si="9"/>
        <v>0</v>
      </c>
    </row>
    <row r="294" spans="1:20" ht="14.4" x14ac:dyDescent="0.3">
      <c r="A294" s="44">
        <v>1</v>
      </c>
      <c r="B294" s="45" t="s">
        <v>407</v>
      </c>
      <c r="C294" s="46" t="s">
        <v>408</v>
      </c>
      <c r="D294" s="47" t="s">
        <v>409</v>
      </c>
      <c r="E294" s="48">
        <v>46198</v>
      </c>
      <c r="F294" s="49">
        <v>2955</v>
      </c>
      <c r="G294" s="45" t="s">
        <v>43</v>
      </c>
      <c r="H294" s="50">
        <v>5310</v>
      </c>
      <c r="I294" s="49">
        <f>Injeksi[[#This Row],[qtySaldoAwalSem1]]*Injeksi[[#This Row],[hargaSatuan]]</f>
        <v>15691050</v>
      </c>
      <c r="J294" s="50">
        <v>0</v>
      </c>
      <c r="K294" s="51">
        <f>Injeksi[[#This Row],[qtyTerima2025]]*Injeksi[[#This Row],[hargaSatuan]]</f>
        <v>0</v>
      </c>
      <c r="L294" s="50">
        <v>1515</v>
      </c>
      <c r="M294" s="51">
        <f>Injeksi[[#This Row],[qtyDist2025]]*Injeksi[[#This Row],[hargaSatuan]]</f>
        <v>4476825</v>
      </c>
      <c r="N294" s="50">
        <v>3114</v>
      </c>
      <c r="O294" s="51">
        <f>Injeksi[[#This Row],[qtyEd2025]]*Injeksi[[#This Row],[hargaSatuan]]</f>
        <v>9201870</v>
      </c>
      <c r="P294" s="50">
        <v>681</v>
      </c>
      <c r="Q294" s="52">
        <f>Injeksi[[#This Row],[qtySaldoAkhir2025]]*Injeksi[[#This Row],[hargaSatuan]]</f>
        <v>2012355</v>
      </c>
      <c r="S294" s="32">
        <f t="shared" si="8"/>
        <v>2012355</v>
      </c>
      <c r="T294" s="32">
        <f t="shared" si="9"/>
        <v>0</v>
      </c>
    </row>
    <row r="295" spans="1:20" ht="14.4" x14ac:dyDescent="0.3">
      <c r="A295" s="44">
        <v>2</v>
      </c>
      <c r="B295" s="45" t="s">
        <v>407</v>
      </c>
      <c r="C295" s="46" t="s">
        <v>408</v>
      </c>
      <c r="D295" s="47" t="s">
        <v>410</v>
      </c>
      <c r="E295" s="48">
        <v>46290</v>
      </c>
      <c r="F295" s="49">
        <v>2955</v>
      </c>
      <c r="G295" s="45" t="s">
        <v>54</v>
      </c>
      <c r="H295" s="50">
        <v>2759</v>
      </c>
      <c r="I295" s="49">
        <f>Injeksi[[#This Row],[qtySaldoAwalSem1]]*Injeksi[[#This Row],[hargaSatuan]]</f>
        <v>8152845</v>
      </c>
      <c r="J295" s="50">
        <v>0</v>
      </c>
      <c r="K295" s="51">
        <f>Injeksi[[#This Row],[qtyTerima2025]]*Injeksi[[#This Row],[hargaSatuan]]</f>
        <v>0</v>
      </c>
      <c r="L295" s="50">
        <v>1210</v>
      </c>
      <c r="M295" s="51">
        <f>Injeksi[[#This Row],[qtyDist2025]]*Injeksi[[#This Row],[hargaSatuan]]</f>
        <v>3575550</v>
      </c>
      <c r="N295" s="50">
        <v>1549</v>
      </c>
      <c r="O295" s="51">
        <f>Injeksi[[#This Row],[qtyEd2025]]*Injeksi[[#This Row],[hargaSatuan]]</f>
        <v>4577295</v>
      </c>
      <c r="P295" s="50">
        <v>0</v>
      </c>
      <c r="Q295" s="52">
        <f>Injeksi[[#This Row],[qtySaldoAkhir2025]]*Injeksi[[#This Row],[hargaSatuan]]</f>
        <v>0</v>
      </c>
      <c r="S295" s="32">
        <f t="shared" si="8"/>
        <v>0</v>
      </c>
      <c r="T295" s="32">
        <f t="shared" si="9"/>
        <v>0</v>
      </c>
    </row>
    <row r="296" spans="1:20" ht="14.4" x14ac:dyDescent="0.3">
      <c r="A296" s="44">
        <v>3</v>
      </c>
      <c r="B296" s="45" t="s">
        <v>407</v>
      </c>
      <c r="C296" s="46" t="s">
        <v>408</v>
      </c>
      <c r="D296" s="47" t="s">
        <v>411</v>
      </c>
      <c r="E296" s="48">
        <v>45931</v>
      </c>
      <c r="F296" s="49">
        <v>2955</v>
      </c>
      <c r="G296" s="45" t="s">
        <v>54</v>
      </c>
      <c r="H296" s="50">
        <v>2241</v>
      </c>
      <c r="I296" s="49">
        <f>Injeksi[[#This Row],[qtySaldoAwalSem1]]*Injeksi[[#This Row],[hargaSatuan]]</f>
        <v>6622155</v>
      </c>
      <c r="J296" s="50">
        <v>0</v>
      </c>
      <c r="K296" s="51">
        <f>Injeksi[[#This Row],[qtyTerima2025]]*Injeksi[[#This Row],[hargaSatuan]]</f>
        <v>0</v>
      </c>
      <c r="L296" s="50">
        <v>600</v>
      </c>
      <c r="M296" s="51">
        <f>Injeksi[[#This Row],[qtyDist2025]]*Injeksi[[#This Row],[hargaSatuan]]</f>
        <v>1773000</v>
      </c>
      <c r="N296" s="50">
        <v>1641</v>
      </c>
      <c r="O296" s="51">
        <f>Injeksi[[#This Row],[qtyEd2025]]*Injeksi[[#This Row],[hargaSatuan]]</f>
        <v>4849155</v>
      </c>
      <c r="P296" s="50">
        <v>0</v>
      </c>
      <c r="Q296" s="52">
        <f>Injeksi[[#This Row],[qtySaldoAkhir2025]]*Injeksi[[#This Row],[hargaSatuan]]</f>
        <v>0</v>
      </c>
      <c r="S296" s="32">
        <f t="shared" si="8"/>
        <v>0</v>
      </c>
      <c r="T296" s="32">
        <f t="shared" si="9"/>
        <v>0</v>
      </c>
    </row>
    <row r="297" spans="1:20" ht="14.4" x14ac:dyDescent="0.3">
      <c r="A297" s="44">
        <v>4</v>
      </c>
      <c r="B297" s="45" t="s">
        <v>412</v>
      </c>
      <c r="C297" s="46" t="s">
        <v>413</v>
      </c>
      <c r="D297" s="47" t="s">
        <v>414</v>
      </c>
      <c r="E297" s="48">
        <v>45870</v>
      </c>
      <c r="F297" s="49">
        <v>7770</v>
      </c>
      <c r="G297" s="45" t="s">
        <v>43</v>
      </c>
      <c r="H297" s="50">
        <v>1270</v>
      </c>
      <c r="I297" s="49">
        <f>Injeksi[[#This Row],[qtySaldoAwalSem1]]*Injeksi[[#This Row],[hargaSatuan]]</f>
        <v>9867900</v>
      </c>
      <c r="J297" s="50">
        <v>0</v>
      </c>
      <c r="K297" s="51">
        <f>Injeksi[[#This Row],[qtyTerima2025]]*Injeksi[[#This Row],[hargaSatuan]]</f>
        <v>0</v>
      </c>
      <c r="L297" s="50">
        <v>0</v>
      </c>
      <c r="M297" s="51">
        <f>Injeksi[[#This Row],[qtyDist2025]]*Injeksi[[#This Row],[hargaSatuan]]</f>
        <v>0</v>
      </c>
      <c r="N297" s="50">
        <v>1270</v>
      </c>
      <c r="O297" s="51">
        <f>Injeksi[[#This Row],[qtyEd2025]]*Injeksi[[#This Row],[hargaSatuan]]</f>
        <v>9867900</v>
      </c>
      <c r="P297" s="50">
        <v>0</v>
      </c>
      <c r="Q297" s="52">
        <f>Injeksi[[#This Row],[qtySaldoAkhir2025]]*Injeksi[[#This Row],[hargaSatuan]]</f>
        <v>0</v>
      </c>
      <c r="S297" s="32">
        <f t="shared" si="8"/>
        <v>0</v>
      </c>
      <c r="T297" s="32">
        <f t="shared" si="9"/>
        <v>0</v>
      </c>
    </row>
    <row r="298" spans="1:20" ht="14.4" x14ac:dyDescent="0.3">
      <c r="A298" s="44">
        <v>5</v>
      </c>
      <c r="B298" s="45" t="s">
        <v>412</v>
      </c>
      <c r="C298" s="46" t="s">
        <v>413</v>
      </c>
      <c r="D298" s="47">
        <v>86307010</v>
      </c>
      <c r="E298" s="48">
        <v>46230</v>
      </c>
      <c r="F298" s="49">
        <v>7770</v>
      </c>
      <c r="G298" s="45" t="s">
        <v>18</v>
      </c>
      <c r="H298" s="50">
        <v>0</v>
      </c>
      <c r="I298" s="49">
        <f>Injeksi[[#This Row],[qtySaldoAwalSem1]]*Injeksi[[#This Row],[hargaSatuan]]</f>
        <v>0</v>
      </c>
      <c r="J298" s="50">
        <v>150</v>
      </c>
      <c r="K298" s="51">
        <f>Injeksi[[#This Row],[qtyTerima2025]]*Injeksi[[#This Row],[hargaSatuan]]</f>
        <v>1165500</v>
      </c>
      <c r="L298" s="50">
        <v>50</v>
      </c>
      <c r="M298" s="51">
        <f>Injeksi[[#This Row],[qtyDist2025]]*Injeksi[[#This Row],[hargaSatuan]]</f>
        <v>388500</v>
      </c>
      <c r="N298" s="50">
        <v>0</v>
      </c>
      <c r="O298" s="51">
        <f>Injeksi[[#This Row],[qtyEd2025]]*Injeksi[[#This Row],[hargaSatuan]]</f>
        <v>0</v>
      </c>
      <c r="P298" s="50">
        <v>100</v>
      </c>
      <c r="Q298" s="52">
        <f>Injeksi[[#This Row],[qtySaldoAkhir2025]]*Injeksi[[#This Row],[hargaSatuan]]</f>
        <v>777000</v>
      </c>
      <c r="S298" s="32">
        <f t="shared" si="8"/>
        <v>777000</v>
      </c>
      <c r="T298" s="32">
        <f t="shared" si="9"/>
        <v>0</v>
      </c>
    </row>
    <row r="299" spans="1:20" ht="14.4" x14ac:dyDescent="0.3">
      <c r="A299" s="44">
        <v>7</v>
      </c>
      <c r="B299" s="45" t="s">
        <v>415</v>
      </c>
      <c r="C299" s="46" t="s">
        <v>413</v>
      </c>
      <c r="D299" s="47" t="s">
        <v>416</v>
      </c>
      <c r="E299" s="48">
        <v>46294</v>
      </c>
      <c r="F299" s="49">
        <v>4340</v>
      </c>
      <c r="G299" s="45" t="s">
        <v>17</v>
      </c>
      <c r="H299" s="50">
        <v>203</v>
      </c>
      <c r="I299" s="49">
        <f>Injeksi[[#This Row],[qtySaldoAwalSem1]]*Injeksi[[#This Row],[hargaSatuan]]</f>
        <v>881020</v>
      </c>
      <c r="J299" s="50">
        <v>0</v>
      </c>
      <c r="K299" s="51">
        <f>Injeksi[[#This Row],[qtyTerima2025]]*Injeksi[[#This Row],[hargaSatuan]]</f>
        <v>0</v>
      </c>
      <c r="L299" s="50">
        <v>203</v>
      </c>
      <c r="M299" s="51">
        <f>Injeksi[[#This Row],[qtyDist2025]]*Injeksi[[#This Row],[hargaSatuan]]</f>
        <v>881020</v>
      </c>
      <c r="N299" s="50">
        <v>0</v>
      </c>
      <c r="O299" s="51">
        <f>Injeksi[[#This Row],[qtyEd2025]]*Injeksi[[#This Row],[hargaSatuan]]</f>
        <v>0</v>
      </c>
      <c r="P299" s="50">
        <v>0</v>
      </c>
      <c r="Q299" s="52">
        <f>Injeksi[[#This Row],[qtySaldoAkhir2025]]*Injeksi[[#This Row],[hargaSatuan]]</f>
        <v>0</v>
      </c>
      <c r="S299" s="32">
        <f t="shared" si="8"/>
        <v>0</v>
      </c>
      <c r="T299" s="32">
        <f t="shared" si="9"/>
        <v>0</v>
      </c>
    </row>
    <row r="300" spans="1:20" ht="14.4" x14ac:dyDescent="0.3">
      <c r="A300" s="44">
        <v>8</v>
      </c>
      <c r="B300" s="45" t="s">
        <v>417</v>
      </c>
      <c r="C300" s="46" t="s">
        <v>120</v>
      </c>
      <c r="D300" s="47">
        <v>76319010</v>
      </c>
      <c r="E300" s="48">
        <v>46141</v>
      </c>
      <c r="F300" s="49">
        <v>438920</v>
      </c>
      <c r="G300" s="45" t="s">
        <v>40</v>
      </c>
      <c r="H300" s="50">
        <v>0</v>
      </c>
      <c r="I300" s="49">
        <f>Injeksi[[#This Row],[qtySaldoAwalSem1]]*Injeksi[[#This Row],[hargaSatuan]]</f>
        <v>0</v>
      </c>
      <c r="J300" s="50">
        <v>2</v>
      </c>
      <c r="K300" s="51">
        <f>Injeksi[[#This Row],[qtyTerima2025]]*Injeksi[[#This Row],[hargaSatuan]]</f>
        <v>877840</v>
      </c>
      <c r="L300" s="50">
        <v>2</v>
      </c>
      <c r="M300" s="51">
        <f>Injeksi[[#This Row],[qtyDist2025]]*Injeksi[[#This Row],[hargaSatuan]]</f>
        <v>877840</v>
      </c>
      <c r="N300" s="50">
        <v>0</v>
      </c>
      <c r="O300" s="51">
        <f>Injeksi[[#This Row],[qtyEd2025]]*Injeksi[[#This Row],[hargaSatuan]]</f>
        <v>0</v>
      </c>
      <c r="P300" s="50">
        <v>0</v>
      </c>
      <c r="Q300" s="52">
        <f>Injeksi[[#This Row],[qtySaldoAkhir2025]]*Injeksi[[#This Row],[hargaSatuan]]</f>
        <v>0</v>
      </c>
      <c r="S300" s="32">
        <f t="shared" si="8"/>
        <v>0</v>
      </c>
      <c r="T300" s="32">
        <f t="shared" si="9"/>
        <v>0</v>
      </c>
    </row>
    <row r="301" spans="1:20" ht="14.4" x14ac:dyDescent="0.3">
      <c r="A301" s="44">
        <v>9</v>
      </c>
      <c r="B301" s="45" t="s">
        <v>417</v>
      </c>
      <c r="C301" s="46" t="s">
        <v>120</v>
      </c>
      <c r="D301" s="47">
        <v>86319014</v>
      </c>
      <c r="E301" s="48">
        <v>47604</v>
      </c>
      <c r="F301" s="49">
        <v>45000</v>
      </c>
      <c r="G301" s="45" t="s">
        <v>40</v>
      </c>
      <c r="H301" s="50">
        <v>0</v>
      </c>
      <c r="I301" s="49">
        <f>Injeksi[[#This Row],[qtySaldoAwalSem1]]*Injeksi[[#This Row],[hargaSatuan]]</f>
        <v>0</v>
      </c>
      <c r="J301" s="50">
        <v>50</v>
      </c>
      <c r="K301" s="51">
        <f>Injeksi[[#This Row],[qtyTerima2025]]*Injeksi[[#This Row],[hargaSatuan]]</f>
        <v>2250000</v>
      </c>
      <c r="L301" s="50">
        <v>50</v>
      </c>
      <c r="M301" s="51">
        <f>Injeksi[[#This Row],[qtyDist2025]]*Injeksi[[#This Row],[hargaSatuan]]</f>
        <v>2250000</v>
      </c>
      <c r="N301" s="50">
        <v>0</v>
      </c>
      <c r="O301" s="51">
        <f>Injeksi[[#This Row],[qtyEd2025]]*Injeksi[[#This Row],[hargaSatuan]]</f>
        <v>0</v>
      </c>
      <c r="P301" s="50">
        <v>0</v>
      </c>
      <c r="Q301" s="52">
        <f>Injeksi[[#This Row],[qtySaldoAkhir2025]]*Injeksi[[#This Row],[hargaSatuan]]</f>
        <v>0</v>
      </c>
      <c r="S301" s="32">
        <f t="shared" si="8"/>
        <v>0</v>
      </c>
      <c r="T301" s="32">
        <f t="shared" si="9"/>
        <v>0</v>
      </c>
    </row>
    <row r="302" spans="1:20" ht="14.4" x14ac:dyDescent="0.3">
      <c r="A302" s="44">
        <v>10</v>
      </c>
      <c r="B302" s="45" t="s">
        <v>418</v>
      </c>
      <c r="C302" s="46" t="s">
        <v>413</v>
      </c>
      <c r="D302" s="47">
        <v>66337003</v>
      </c>
      <c r="E302" s="68">
        <v>45689</v>
      </c>
      <c r="F302" s="49">
        <v>1776</v>
      </c>
      <c r="G302" s="45" t="s">
        <v>43</v>
      </c>
      <c r="H302" s="50">
        <v>1300</v>
      </c>
      <c r="I302" s="49">
        <f>Injeksi[[#This Row],[qtySaldoAwalSem1]]*Injeksi[[#This Row],[hargaSatuan]]</f>
        <v>2308800</v>
      </c>
      <c r="J302" s="50">
        <v>0</v>
      </c>
      <c r="K302" s="51">
        <f>Injeksi[[#This Row],[qtyTerima2025]]*Injeksi[[#This Row],[hargaSatuan]]</f>
        <v>0</v>
      </c>
      <c r="L302" s="50">
        <v>190</v>
      </c>
      <c r="M302" s="51">
        <f>Injeksi[[#This Row],[qtyDist2025]]*Injeksi[[#This Row],[hargaSatuan]]</f>
        <v>337440</v>
      </c>
      <c r="N302" s="50">
        <v>1110</v>
      </c>
      <c r="O302" s="51">
        <f>Injeksi[[#This Row],[qtyEd2025]]*Injeksi[[#This Row],[hargaSatuan]]</f>
        <v>1971360</v>
      </c>
      <c r="P302" s="50">
        <v>0</v>
      </c>
      <c r="Q302" s="52">
        <f>Injeksi[[#This Row],[qtySaldoAkhir2025]]*Injeksi[[#This Row],[hargaSatuan]]</f>
        <v>0</v>
      </c>
      <c r="S302" s="32">
        <f t="shared" si="8"/>
        <v>0</v>
      </c>
      <c r="T302" s="32">
        <f t="shared" si="9"/>
        <v>0</v>
      </c>
    </row>
    <row r="303" spans="1:20" ht="14.4" x14ac:dyDescent="0.3">
      <c r="A303" s="44">
        <v>11</v>
      </c>
      <c r="B303" s="45" t="s">
        <v>418</v>
      </c>
      <c r="C303" s="46" t="s">
        <v>413</v>
      </c>
      <c r="D303" s="47">
        <v>76337015</v>
      </c>
      <c r="E303" s="48">
        <v>46143</v>
      </c>
      <c r="F303" s="49">
        <v>1776</v>
      </c>
      <c r="G303" s="45" t="s">
        <v>54</v>
      </c>
      <c r="H303" s="50">
        <v>10000</v>
      </c>
      <c r="I303" s="49">
        <f>Injeksi[[#This Row],[qtySaldoAwalSem1]]*Injeksi[[#This Row],[hargaSatuan]]</f>
        <v>17760000</v>
      </c>
      <c r="J303" s="50">
        <v>0</v>
      </c>
      <c r="K303" s="51">
        <f>Injeksi[[#This Row],[qtyTerima2025]]*Injeksi[[#This Row],[hargaSatuan]]</f>
        <v>0</v>
      </c>
      <c r="L303" s="50">
        <v>3620</v>
      </c>
      <c r="M303" s="51">
        <f>Injeksi[[#This Row],[qtyDist2025]]*Injeksi[[#This Row],[hargaSatuan]]</f>
        <v>6429120</v>
      </c>
      <c r="N303" s="50">
        <v>0</v>
      </c>
      <c r="O303" s="51">
        <f>Injeksi[[#This Row],[qtyEd2025]]*Injeksi[[#This Row],[hargaSatuan]]</f>
        <v>0</v>
      </c>
      <c r="P303" s="50">
        <v>6380</v>
      </c>
      <c r="Q303" s="52">
        <f>Injeksi[[#This Row],[qtySaldoAkhir2025]]*Injeksi[[#This Row],[hargaSatuan]]</f>
        <v>11330880</v>
      </c>
      <c r="S303" s="32">
        <f t="shared" si="8"/>
        <v>11330880</v>
      </c>
      <c r="T303" s="32">
        <f t="shared" si="9"/>
        <v>0</v>
      </c>
    </row>
    <row r="304" spans="1:20" ht="14.4" x14ac:dyDescent="0.3">
      <c r="A304" s="44">
        <v>12</v>
      </c>
      <c r="B304" s="45" t="s">
        <v>419</v>
      </c>
      <c r="C304" s="46" t="s">
        <v>413</v>
      </c>
      <c r="D304" s="47" t="s">
        <v>420</v>
      </c>
      <c r="E304" s="48">
        <v>46235</v>
      </c>
      <c r="F304" s="49">
        <v>2000</v>
      </c>
      <c r="G304" s="45" t="s">
        <v>54</v>
      </c>
      <c r="H304" s="50">
        <v>3218</v>
      </c>
      <c r="I304" s="49">
        <f>Injeksi[[#This Row],[qtySaldoAwalSem1]]*Injeksi[[#This Row],[hargaSatuan]]</f>
        <v>6436000</v>
      </c>
      <c r="J304" s="50">
        <v>0</v>
      </c>
      <c r="K304" s="51">
        <f>Injeksi[[#This Row],[qtyTerima2025]]*Injeksi[[#This Row],[hargaSatuan]]</f>
        <v>0</v>
      </c>
      <c r="L304" s="50">
        <v>2900</v>
      </c>
      <c r="M304" s="51">
        <f>Injeksi[[#This Row],[qtyDist2025]]*Injeksi[[#This Row],[hargaSatuan]]</f>
        <v>5800000</v>
      </c>
      <c r="N304" s="50">
        <v>0</v>
      </c>
      <c r="O304" s="51">
        <f>Injeksi[[#This Row],[qtyEd2025]]*Injeksi[[#This Row],[hargaSatuan]]</f>
        <v>0</v>
      </c>
      <c r="P304" s="50">
        <v>318</v>
      </c>
      <c r="Q304" s="52">
        <f>Injeksi[[#This Row],[qtySaldoAkhir2025]]*Injeksi[[#This Row],[hargaSatuan]]</f>
        <v>636000</v>
      </c>
      <c r="S304" s="32">
        <f t="shared" si="8"/>
        <v>636000</v>
      </c>
      <c r="T304" s="32">
        <f t="shared" si="9"/>
        <v>0</v>
      </c>
    </row>
    <row r="305" spans="1:20" ht="14.4" x14ac:dyDescent="0.3">
      <c r="A305" s="44">
        <v>13</v>
      </c>
      <c r="B305" s="45" t="s">
        <v>421</v>
      </c>
      <c r="C305" s="46" t="s">
        <v>413</v>
      </c>
      <c r="D305" s="47" t="s">
        <v>422</v>
      </c>
      <c r="E305" s="68">
        <v>46447</v>
      </c>
      <c r="F305" s="49">
        <v>5828</v>
      </c>
      <c r="G305" s="45" t="s">
        <v>54</v>
      </c>
      <c r="H305" s="50">
        <v>234</v>
      </c>
      <c r="I305" s="49">
        <f>Injeksi[[#This Row],[qtySaldoAwalSem1]]*Injeksi[[#This Row],[hargaSatuan]]</f>
        <v>1363752</v>
      </c>
      <c r="J305" s="50">
        <v>0</v>
      </c>
      <c r="K305" s="51">
        <f>Injeksi[[#This Row],[qtyTerima2025]]*Injeksi[[#This Row],[hargaSatuan]]</f>
        <v>0</v>
      </c>
      <c r="L305" s="50">
        <v>205</v>
      </c>
      <c r="M305" s="51">
        <f>Injeksi[[#This Row],[qtyDist2025]]*Injeksi[[#This Row],[hargaSatuan]]</f>
        <v>1194740</v>
      </c>
      <c r="N305" s="50">
        <v>0</v>
      </c>
      <c r="O305" s="51">
        <f>Injeksi[[#This Row],[qtyEd2025]]*Injeksi[[#This Row],[hargaSatuan]]</f>
        <v>0</v>
      </c>
      <c r="P305" s="50">
        <v>29</v>
      </c>
      <c r="Q305" s="52">
        <f>Injeksi[[#This Row],[qtySaldoAkhir2025]]*Injeksi[[#This Row],[hargaSatuan]]</f>
        <v>169012</v>
      </c>
      <c r="S305" s="32">
        <f t="shared" si="8"/>
        <v>169012</v>
      </c>
      <c r="T305" s="32">
        <f t="shared" si="9"/>
        <v>0</v>
      </c>
    </row>
    <row r="306" spans="1:20" ht="14.4" x14ac:dyDescent="0.3">
      <c r="A306" s="44">
        <v>14</v>
      </c>
      <c r="B306" s="45" t="s">
        <v>423</v>
      </c>
      <c r="C306" s="46" t="s">
        <v>413</v>
      </c>
      <c r="D306" s="47" t="s">
        <v>424</v>
      </c>
      <c r="E306" s="48">
        <v>46047</v>
      </c>
      <c r="F306" s="49">
        <v>63500</v>
      </c>
      <c r="G306" s="45" t="s">
        <v>40</v>
      </c>
      <c r="H306" s="50">
        <v>850</v>
      </c>
      <c r="I306" s="49">
        <f>Injeksi[[#This Row],[qtySaldoAwalSem1]]*Injeksi[[#This Row],[hargaSatuan]]</f>
        <v>53975000</v>
      </c>
      <c r="J306" s="50">
        <v>0</v>
      </c>
      <c r="K306" s="51">
        <f>Injeksi[[#This Row],[qtyTerima2025]]*Injeksi[[#This Row],[hargaSatuan]]</f>
        <v>0</v>
      </c>
      <c r="L306" s="50">
        <v>0</v>
      </c>
      <c r="M306" s="51">
        <f>Injeksi[[#This Row],[qtyDist2025]]*Injeksi[[#This Row],[hargaSatuan]]</f>
        <v>0</v>
      </c>
      <c r="N306" s="50">
        <v>850</v>
      </c>
      <c r="O306" s="51">
        <f>Injeksi[[#This Row],[qtyEd2025]]*Injeksi[[#This Row],[hargaSatuan]]</f>
        <v>53975000</v>
      </c>
      <c r="P306" s="50">
        <v>0</v>
      </c>
      <c r="Q306" s="52">
        <f>Injeksi[[#This Row],[qtySaldoAkhir2025]]*Injeksi[[#This Row],[hargaSatuan]]</f>
        <v>0</v>
      </c>
      <c r="S306" s="32">
        <f t="shared" si="8"/>
        <v>0</v>
      </c>
      <c r="T306" s="32">
        <f t="shared" si="9"/>
        <v>0</v>
      </c>
    </row>
    <row r="307" spans="1:20" ht="14.4" x14ac:dyDescent="0.3">
      <c r="A307" s="44">
        <v>65</v>
      </c>
      <c r="B307" s="45" t="s">
        <v>425</v>
      </c>
      <c r="C307" s="46" t="s">
        <v>426</v>
      </c>
      <c r="D307" s="47" t="s">
        <v>427</v>
      </c>
      <c r="E307" s="48">
        <v>46229</v>
      </c>
      <c r="F307" s="49">
        <v>67950</v>
      </c>
      <c r="G307" s="45" t="s">
        <v>40</v>
      </c>
      <c r="H307" s="50">
        <v>0</v>
      </c>
      <c r="I307" s="49">
        <f>Injeksi[[#This Row],[qtySaldoAwalSem1]]*Injeksi[[#This Row],[hargaSatuan]]</f>
        <v>0</v>
      </c>
      <c r="J307" s="50">
        <v>50</v>
      </c>
      <c r="K307" s="51">
        <f>Injeksi[[#This Row],[qtyTerima2025]]*Injeksi[[#This Row],[hargaSatuan]]</f>
        <v>3397500</v>
      </c>
      <c r="L307" s="50">
        <v>7</v>
      </c>
      <c r="M307" s="51">
        <f>Injeksi[[#This Row],[qtyDist2025]]*Injeksi[[#This Row],[hargaSatuan]]</f>
        <v>475650</v>
      </c>
      <c r="N307" s="50">
        <v>0</v>
      </c>
      <c r="O307" s="51">
        <f>Injeksi[[#This Row],[qtyEd2025]]*Injeksi[[#This Row],[hargaSatuan]]</f>
        <v>0</v>
      </c>
      <c r="P307" s="50">
        <v>43</v>
      </c>
      <c r="Q307" s="52">
        <f>Injeksi[[#This Row],[qtySaldoAkhir2025]]*Injeksi[[#This Row],[hargaSatuan]]</f>
        <v>2921850</v>
      </c>
      <c r="S307" s="32">
        <f t="shared" si="8"/>
        <v>2921850</v>
      </c>
      <c r="T307" s="32">
        <f t="shared" si="9"/>
        <v>0</v>
      </c>
    </row>
    <row r="308" spans="1:20" ht="14.4" x14ac:dyDescent="0.3">
      <c r="A308" s="44">
        <v>15</v>
      </c>
      <c r="B308" s="45" t="s">
        <v>425</v>
      </c>
      <c r="C308" s="46" t="s">
        <v>413</v>
      </c>
      <c r="D308" s="47" t="s">
        <v>428</v>
      </c>
      <c r="E308" s="48">
        <v>46048</v>
      </c>
      <c r="F308" s="49">
        <v>1754</v>
      </c>
      <c r="G308" s="45" t="s">
        <v>54</v>
      </c>
      <c r="H308" s="50">
        <v>1145</v>
      </c>
      <c r="I308" s="49">
        <f>Injeksi[[#This Row],[qtySaldoAwalSem1]]*Injeksi[[#This Row],[hargaSatuan]]</f>
        <v>2008330</v>
      </c>
      <c r="J308" s="50">
        <v>0</v>
      </c>
      <c r="K308" s="51">
        <f>Injeksi[[#This Row],[qtyTerima2025]]*Injeksi[[#This Row],[hargaSatuan]]</f>
        <v>0</v>
      </c>
      <c r="L308" s="50">
        <v>388</v>
      </c>
      <c r="M308" s="51">
        <f>Injeksi[[#This Row],[qtyDist2025]]*Injeksi[[#This Row],[hargaSatuan]]</f>
        <v>680552</v>
      </c>
      <c r="N308" s="50">
        <v>0</v>
      </c>
      <c r="O308" s="51">
        <f>Injeksi[[#This Row],[qtyEd2025]]*Injeksi[[#This Row],[hargaSatuan]]</f>
        <v>0</v>
      </c>
      <c r="P308" s="50">
        <v>757</v>
      </c>
      <c r="Q308" s="52">
        <f>Injeksi[[#This Row],[qtySaldoAkhir2025]]*Injeksi[[#This Row],[hargaSatuan]]</f>
        <v>1327778</v>
      </c>
      <c r="S308" s="32">
        <f t="shared" si="8"/>
        <v>1327778</v>
      </c>
      <c r="T308" s="32">
        <f t="shared" si="9"/>
        <v>0</v>
      </c>
    </row>
    <row r="309" spans="1:20" ht="14.4" x14ac:dyDescent="0.3">
      <c r="A309" s="44">
        <v>16</v>
      </c>
      <c r="B309" s="45" t="s">
        <v>429</v>
      </c>
      <c r="C309" s="46" t="s">
        <v>413</v>
      </c>
      <c r="D309" s="47" t="s">
        <v>430</v>
      </c>
      <c r="E309" s="48">
        <v>46235</v>
      </c>
      <c r="F309" s="49">
        <v>36100</v>
      </c>
      <c r="G309" s="45" t="s">
        <v>40</v>
      </c>
      <c r="H309" s="50">
        <v>0</v>
      </c>
      <c r="I309" s="49">
        <f>Injeksi[[#This Row],[qtySaldoAwalSem1]]*Injeksi[[#This Row],[hargaSatuan]]</f>
        <v>0</v>
      </c>
      <c r="J309" s="50">
        <v>50</v>
      </c>
      <c r="K309" s="51">
        <f>Injeksi[[#This Row],[qtyTerima2025]]*Injeksi[[#This Row],[hargaSatuan]]</f>
        <v>1805000</v>
      </c>
      <c r="L309" s="50">
        <v>10</v>
      </c>
      <c r="M309" s="51">
        <f>Injeksi[[#This Row],[qtyDist2025]]*Injeksi[[#This Row],[hargaSatuan]]</f>
        <v>361000</v>
      </c>
      <c r="N309" s="50">
        <v>0</v>
      </c>
      <c r="O309" s="51">
        <f>Injeksi[[#This Row],[qtyEd2025]]*Injeksi[[#This Row],[hargaSatuan]]</f>
        <v>0</v>
      </c>
      <c r="P309" s="50">
        <v>40</v>
      </c>
      <c r="Q309" s="52">
        <f>Injeksi[[#This Row],[qtySaldoAkhir2025]]*Injeksi[[#This Row],[hargaSatuan]]</f>
        <v>1444000</v>
      </c>
      <c r="S309" s="32">
        <f t="shared" si="8"/>
        <v>1444000</v>
      </c>
      <c r="T309" s="32">
        <f t="shared" si="9"/>
        <v>0</v>
      </c>
    </row>
    <row r="310" spans="1:20" ht="14.4" x14ac:dyDescent="0.3">
      <c r="A310" s="44">
        <v>19</v>
      </c>
      <c r="B310" s="45" t="s">
        <v>431</v>
      </c>
      <c r="C310" s="46" t="s">
        <v>413</v>
      </c>
      <c r="D310" s="47" t="s">
        <v>432</v>
      </c>
      <c r="E310" s="48">
        <v>46294</v>
      </c>
      <c r="F310" s="49">
        <v>1800</v>
      </c>
      <c r="G310" s="45" t="s">
        <v>40</v>
      </c>
      <c r="H310" s="50">
        <v>42</v>
      </c>
      <c r="I310" s="49">
        <f>Injeksi[[#This Row],[qtySaldoAwalSem1]]*Injeksi[[#This Row],[hargaSatuan]]</f>
        <v>75600</v>
      </c>
      <c r="J310" s="50">
        <v>0</v>
      </c>
      <c r="K310" s="51">
        <f>Injeksi[[#This Row],[qtyTerima2025]]*Injeksi[[#This Row],[hargaSatuan]]</f>
        <v>0</v>
      </c>
      <c r="L310" s="50">
        <v>6</v>
      </c>
      <c r="M310" s="51">
        <f>Injeksi[[#This Row],[qtyDist2025]]*Injeksi[[#This Row],[hargaSatuan]]</f>
        <v>10800</v>
      </c>
      <c r="N310" s="50">
        <v>0</v>
      </c>
      <c r="O310" s="51">
        <f>Injeksi[[#This Row],[qtyEd2025]]*Injeksi[[#This Row],[hargaSatuan]]</f>
        <v>0</v>
      </c>
      <c r="P310" s="50">
        <v>36</v>
      </c>
      <c r="Q310" s="52">
        <f>Injeksi[[#This Row],[qtySaldoAkhir2025]]*Injeksi[[#This Row],[hargaSatuan]]</f>
        <v>64800</v>
      </c>
      <c r="S310" s="32">
        <f t="shared" si="8"/>
        <v>64800</v>
      </c>
      <c r="T310" s="32">
        <f t="shared" si="9"/>
        <v>0</v>
      </c>
    </row>
    <row r="311" spans="1:20" ht="14.4" x14ac:dyDescent="0.3">
      <c r="A311" s="44">
        <v>20</v>
      </c>
      <c r="B311" s="45" t="s">
        <v>431</v>
      </c>
      <c r="C311" s="46" t="s">
        <v>413</v>
      </c>
      <c r="D311" s="47" t="s">
        <v>433</v>
      </c>
      <c r="E311" s="48">
        <v>46229</v>
      </c>
      <c r="F311" s="49">
        <v>1966</v>
      </c>
      <c r="G311" s="45" t="s">
        <v>54</v>
      </c>
      <c r="H311" s="50">
        <v>1662</v>
      </c>
      <c r="I311" s="49">
        <f>Injeksi[[#This Row],[qtySaldoAwalSem1]]*Injeksi[[#This Row],[hargaSatuan]]</f>
        <v>3267492</v>
      </c>
      <c r="J311" s="50">
        <v>0</v>
      </c>
      <c r="K311" s="51">
        <f>Injeksi[[#This Row],[qtyTerima2025]]*Injeksi[[#This Row],[hargaSatuan]]</f>
        <v>0</v>
      </c>
      <c r="L311" s="50">
        <v>188</v>
      </c>
      <c r="M311" s="51">
        <f>Injeksi[[#This Row],[qtyDist2025]]*Injeksi[[#This Row],[hargaSatuan]]</f>
        <v>369608</v>
      </c>
      <c r="N311" s="50">
        <v>0</v>
      </c>
      <c r="O311" s="51">
        <f>Injeksi[[#This Row],[qtyEd2025]]*Injeksi[[#This Row],[hargaSatuan]]</f>
        <v>0</v>
      </c>
      <c r="P311" s="50">
        <v>1474</v>
      </c>
      <c r="Q311" s="52">
        <f>Injeksi[[#This Row],[qtySaldoAkhir2025]]*Injeksi[[#This Row],[hargaSatuan]]</f>
        <v>2897884</v>
      </c>
      <c r="S311" s="32">
        <f t="shared" si="8"/>
        <v>2897884</v>
      </c>
      <c r="T311" s="32">
        <f t="shared" si="9"/>
        <v>0</v>
      </c>
    </row>
    <row r="312" spans="1:20" ht="14.4" x14ac:dyDescent="0.3">
      <c r="A312" s="44">
        <v>21</v>
      </c>
      <c r="B312" s="45" t="s">
        <v>431</v>
      </c>
      <c r="C312" s="46" t="s">
        <v>413</v>
      </c>
      <c r="D312" s="47" t="s">
        <v>434</v>
      </c>
      <c r="E312" s="48">
        <v>46291</v>
      </c>
      <c r="F312" s="49">
        <v>1966</v>
      </c>
      <c r="G312" s="45" t="s">
        <v>54</v>
      </c>
      <c r="H312" s="50">
        <v>276</v>
      </c>
      <c r="I312" s="49">
        <f>Injeksi[[#This Row],[qtySaldoAwalSem1]]*Injeksi[[#This Row],[hargaSatuan]]</f>
        <v>542616</v>
      </c>
      <c r="J312" s="50">
        <v>0</v>
      </c>
      <c r="K312" s="51">
        <f>Injeksi[[#This Row],[qtyTerima2025]]*Injeksi[[#This Row],[hargaSatuan]]</f>
        <v>0</v>
      </c>
      <c r="L312" s="50">
        <v>0</v>
      </c>
      <c r="M312" s="51">
        <f>Injeksi[[#This Row],[qtyDist2025]]*Injeksi[[#This Row],[hargaSatuan]]</f>
        <v>0</v>
      </c>
      <c r="N312" s="50">
        <v>0</v>
      </c>
      <c r="O312" s="51">
        <f>Injeksi[[#This Row],[qtyEd2025]]*Injeksi[[#This Row],[hargaSatuan]]</f>
        <v>0</v>
      </c>
      <c r="P312" s="50">
        <v>276</v>
      </c>
      <c r="Q312" s="52">
        <f>Injeksi[[#This Row],[qtySaldoAkhir2025]]*Injeksi[[#This Row],[hargaSatuan]]</f>
        <v>542616</v>
      </c>
      <c r="S312" s="32">
        <f t="shared" si="8"/>
        <v>542616</v>
      </c>
      <c r="T312" s="32">
        <f t="shared" si="9"/>
        <v>0</v>
      </c>
    </row>
    <row r="313" spans="1:20" ht="14.4" x14ac:dyDescent="0.3">
      <c r="A313" s="44">
        <v>17</v>
      </c>
      <c r="B313" s="45" t="s">
        <v>435</v>
      </c>
      <c r="C313" s="46" t="s">
        <v>413</v>
      </c>
      <c r="D313" s="47" t="s">
        <v>436</v>
      </c>
      <c r="E313" s="48">
        <v>46357</v>
      </c>
      <c r="F313" s="49">
        <v>109000</v>
      </c>
      <c r="G313" s="45" t="s">
        <v>54</v>
      </c>
      <c r="H313" s="50">
        <v>135</v>
      </c>
      <c r="I313" s="49">
        <f>Injeksi[[#This Row],[qtySaldoAwalSem1]]*Injeksi[[#This Row],[hargaSatuan]]</f>
        <v>14715000</v>
      </c>
      <c r="J313" s="50">
        <v>0</v>
      </c>
      <c r="K313" s="51">
        <f>Injeksi[[#This Row],[qtyTerima2025]]*Injeksi[[#This Row],[hargaSatuan]]</f>
        <v>0</v>
      </c>
      <c r="L313" s="50">
        <v>135</v>
      </c>
      <c r="M313" s="51">
        <f>Injeksi[[#This Row],[qtyDist2025]]*Injeksi[[#This Row],[hargaSatuan]]</f>
        <v>14715000</v>
      </c>
      <c r="N313" s="50">
        <v>0</v>
      </c>
      <c r="O313" s="51">
        <f>Injeksi[[#This Row],[qtyEd2025]]*Injeksi[[#This Row],[hargaSatuan]]</f>
        <v>0</v>
      </c>
      <c r="P313" s="50">
        <v>0</v>
      </c>
      <c r="Q313" s="52">
        <f>Injeksi[[#This Row],[qtySaldoAkhir2025]]*Injeksi[[#This Row],[hargaSatuan]]</f>
        <v>0</v>
      </c>
      <c r="S313" s="32">
        <f t="shared" si="8"/>
        <v>0</v>
      </c>
      <c r="T313" s="32">
        <f t="shared" si="9"/>
        <v>0</v>
      </c>
    </row>
    <row r="314" spans="1:20" ht="14.4" x14ac:dyDescent="0.3">
      <c r="A314" s="44">
        <v>18</v>
      </c>
      <c r="B314" s="45" t="s">
        <v>435</v>
      </c>
      <c r="C314" s="46" t="s">
        <v>413</v>
      </c>
      <c r="D314" s="47" t="s">
        <v>437</v>
      </c>
      <c r="E314" s="48">
        <v>46143</v>
      </c>
      <c r="F314" s="49">
        <v>109000</v>
      </c>
      <c r="G314" s="45" t="s">
        <v>36</v>
      </c>
      <c r="H314" s="50">
        <v>0</v>
      </c>
      <c r="I314" s="49">
        <f>Injeksi[[#This Row],[qtySaldoAwalSem1]]*Injeksi[[#This Row],[hargaSatuan]]</f>
        <v>0</v>
      </c>
      <c r="J314" s="50">
        <v>400</v>
      </c>
      <c r="K314" s="51">
        <f>Injeksi[[#This Row],[qtyTerima2025]]*Injeksi[[#This Row],[hargaSatuan]]</f>
        <v>43600000</v>
      </c>
      <c r="L314" s="50">
        <v>93</v>
      </c>
      <c r="M314" s="51">
        <f>Injeksi[[#This Row],[qtyDist2025]]*Injeksi[[#This Row],[hargaSatuan]]</f>
        <v>10137000</v>
      </c>
      <c r="N314" s="50">
        <v>0</v>
      </c>
      <c r="O314" s="51">
        <f>Injeksi[[#This Row],[qtyEd2025]]*Injeksi[[#This Row],[hargaSatuan]]</f>
        <v>0</v>
      </c>
      <c r="P314" s="50">
        <v>307</v>
      </c>
      <c r="Q314" s="52">
        <f>Injeksi[[#This Row],[qtySaldoAkhir2025]]*Injeksi[[#This Row],[hargaSatuan]]</f>
        <v>33463000</v>
      </c>
      <c r="S314" s="32">
        <f t="shared" si="8"/>
        <v>33463000</v>
      </c>
      <c r="T314" s="32">
        <f t="shared" si="9"/>
        <v>0</v>
      </c>
    </row>
    <row r="315" spans="1:20" ht="14.4" x14ac:dyDescent="0.3">
      <c r="A315" s="44">
        <v>22</v>
      </c>
      <c r="B315" s="45" t="s">
        <v>438</v>
      </c>
      <c r="C315" s="46" t="s">
        <v>413</v>
      </c>
      <c r="D315" s="47" t="s">
        <v>439</v>
      </c>
      <c r="E315" s="48">
        <v>45901</v>
      </c>
      <c r="F315" s="49">
        <v>9500</v>
      </c>
      <c r="G315" s="45" t="s">
        <v>40</v>
      </c>
      <c r="H315" s="50">
        <v>40</v>
      </c>
      <c r="I315" s="49">
        <f>Injeksi[[#This Row],[qtySaldoAwalSem1]]*Injeksi[[#This Row],[hargaSatuan]]</f>
        <v>380000</v>
      </c>
      <c r="J315" s="50">
        <v>0</v>
      </c>
      <c r="K315" s="51">
        <f>Injeksi[[#This Row],[qtyTerima2025]]*Injeksi[[#This Row],[hargaSatuan]]</f>
        <v>0</v>
      </c>
      <c r="L315" s="50">
        <v>14</v>
      </c>
      <c r="M315" s="51">
        <f>Injeksi[[#This Row],[qtyDist2025]]*Injeksi[[#This Row],[hargaSatuan]]</f>
        <v>133000</v>
      </c>
      <c r="N315" s="50">
        <v>26</v>
      </c>
      <c r="O315" s="51">
        <f>Injeksi[[#This Row],[qtyEd2025]]*Injeksi[[#This Row],[hargaSatuan]]</f>
        <v>247000</v>
      </c>
      <c r="P315" s="50">
        <v>0</v>
      </c>
      <c r="Q315" s="52">
        <f>Injeksi[[#This Row],[qtySaldoAkhir2025]]*Injeksi[[#This Row],[hargaSatuan]]</f>
        <v>0</v>
      </c>
      <c r="S315" s="32">
        <f t="shared" si="8"/>
        <v>0</v>
      </c>
      <c r="T315" s="32">
        <f t="shared" si="9"/>
        <v>0</v>
      </c>
    </row>
    <row r="316" spans="1:20" ht="14.4" x14ac:dyDescent="0.3">
      <c r="A316" s="44">
        <v>23</v>
      </c>
      <c r="B316" s="45" t="s">
        <v>440</v>
      </c>
      <c r="C316" s="46" t="s">
        <v>413</v>
      </c>
      <c r="D316" s="47" t="s">
        <v>441</v>
      </c>
      <c r="E316" s="48">
        <v>45931</v>
      </c>
      <c r="F316" s="49">
        <v>1700</v>
      </c>
      <c r="G316" s="45" t="s">
        <v>43</v>
      </c>
      <c r="H316" s="50">
        <v>1290</v>
      </c>
      <c r="I316" s="49">
        <f>Injeksi[[#This Row],[qtySaldoAwalSem1]]*Injeksi[[#This Row],[hargaSatuan]]</f>
        <v>2193000</v>
      </c>
      <c r="J316" s="50">
        <v>0</v>
      </c>
      <c r="K316" s="51">
        <f>Injeksi[[#This Row],[qtyTerima2025]]*Injeksi[[#This Row],[hargaSatuan]]</f>
        <v>0</v>
      </c>
      <c r="L316" s="50">
        <v>1290</v>
      </c>
      <c r="M316" s="51">
        <f>Injeksi[[#This Row],[qtyDist2025]]*Injeksi[[#This Row],[hargaSatuan]]</f>
        <v>2193000</v>
      </c>
      <c r="N316" s="50">
        <v>0</v>
      </c>
      <c r="O316" s="51">
        <f>Injeksi[[#This Row],[qtyEd2025]]*Injeksi[[#This Row],[hargaSatuan]]</f>
        <v>0</v>
      </c>
      <c r="P316" s="50">
        <v>0</v>
      </c>
      <c r="Q316" s="52">
        <f>Injeksi[[#This Row],[qtySaldoAkhir2025]]*Injeksi[[#This Row],[hargaSatuan]]</f>
        <v>0</v>
      </c>
      <c r="S316" s="32">
        <f t="shared" si="8"/>
        <v>0</v>
      </c>
      <c r="T316" s="32">
        <f t="shared" si="9"/>
        <v>0</v>
      </c>
    </row>
    <row r="317" spans="1:20" ht="14.4" x14ac:dyDescent="0.3">
      <c r="A317" s="44">
        <v>24</v>
      </c>
      <c r="B317" s="45" t="s">
        <v>442</v>
      </c>
      <c r="C317" s="46" t="s">
        <v>413</v>
      </c>
      <c r="D317" s="47">
        <v>66329001</v>
      </c>
      <c r="E317" s="48">
        <v>46600</v>
      </c>
      <c r="F317" s="49">
        <v>3203</v>
      </c>
      <c r="G317" s="45" t="s">
        <v>40</v>
      </c>
      <c r="H317" s="50">
        <v>60</v>
      </c>
      <c r="I317" s="49">
        <f>Injeksi[[#This Row],[qtySaldoAwalSem1]]*Injeksi[[#This Row],[hargaSatuan]]</f>
        <v>192180</v>
      </c>
      <c r="J317" s="50">
        <v>0</v>
      </c>
      <c r="K317" s="51">
        <f>Injeksi[[#This Row],[qtyTerima2025]]*Injeksi[[#This Row],[hargaSatuan]]</f>
        <v>0</v>
      </c>
      <c r="L317" s="50">
        <v>0</v>
      </c>
      <c r="M317" s="51">
        <f>Injeksi[[#This Row],[qtyDist2025]]*Injeksi[[#This Row],[hargaSatuan]]</f>
        <v>0</v>
      </c>
      <c r="N317" s="50">
        <v>0</v>
      </c>
      <c r="O317" s="51">
        <f>Injeksi[[#This Row],[qtyEd2025]]*Injeksi[[#This Row],[hargaSatuan]]</f>
        <v>0</v>
      </c>
      <c r="P317" s="50">
        <v>60</v>
      </c>
      <c r="Q317" s="52">
        <f>Injeksi[[#This Row],[qtySaldoAkhir2025]]*Injeksi[[#This Row],[hargaSatuan]]</f>
        <v>192180</v>
      </c>
      <c r="S317" s="32">
        <f t="shared" si="8"/>
        <v>192180</v>
      </c>
      <c r="T317" s="32">
        <f t="shared" si="9"/>
        <v>0</v>
      </c>
    </row>
    <row r="318" spans="1:20" ht="14.4" x14ac:dyDescent="0.3">
      <c r="A318" s="44">
        <v>25</v>
      </c>
      <c r="B318" s="45" t="s">
        <v>443</v>
      </c>
      <c r="C318" s="46" t="s">
        <v>413</v>
      </c>
      <c r="D318" s="69" t="s">
        <v>444</v>
      </c>
      <c r="E318" s="68">
        <v>46569</v>
      </c>
      <c r="F318" s="49">
        <v>2109</v>
      </c>
      <c r="G318" s="70" t="s">
        <v>43</v>
      </c>
      <c r="H318" s="50">
        <v>570</v>
      </c>
      <c r="I318" s="49">
        <f>Injeksi[[#This Row],[qtySaldoAwalSem1]]*Injeksi[[#This Row],[hargaSatuan]]</f>
        <v>1202130</v>
      </c>
      <c r="J318" s="50">
        <v>0</v>
      </c>
      <c r="K318" s="51">
        <f>Injeksi[[#This Row],[qtyTerima2025]]*Injeksi[[#This Row],[hargaSatuan]]</f>
        <v>0</v>
      </c>
      <c r="L318" s="50">
        <v>570</v>
      </c>
      <c r="M318" s="51">
        <f>Injeksi[[#This Row],[qtyDist2025]]*Injeksi[[#This Row],[hargaSatuan]]</f>
        <v>1202130</v>
      </c>
      <c r="N318" s="50">
        <v>0</v>
      </c>
      <c r="O318" s="51">
        <f>Injeksi[[#This Row],[qtyEd2025]]*Injeksi[[#This Row],[hargaSatuan]]</f>
        <v>0</v>
      </c>
      <c r="P318" s="50">
        <v>0</v>
      </c>
      <c r="Q318" s="52">
        <f>Injeksi[[#This Row],[qtySaldoAkhir2025]]*Injeksi[[#This Row],[hargaSatuan]]</f>
        <v>0</v>
      </c>
      <c r="S318" s="32">
        <f t="shared" si="8"/>
        <v>0</v>
      </c>
      <c r="T318" s="32">
        <f t="shared" si="9"/>
        <v>0</v>
      </c>
    </row>
    <row r="319" spans="1:20" ht="14.4" x14ac:dyDescent="0.3">
      <c r="A319" s="44">
        <v>26</v>
      </c>
      <c r="B319" s="45" t="s">
        <v>443</v>
      </c>
      <c r="C319" s="46" t="s">
        <v>413</v>
      </c>
      <c r="D319" s="47" t="s">
        <v>444</v>
      </c>
      <c r="E319" s="68">
        <v>46569</v>
      </c>
      <c r="F319" s="49">
        <v>2331</v>
      </c>
      <c r="G319" s="45" t="s">
        <v>54</v>
      </c>
      <c r="H319" s="71">
        <v>300</v>
      </c>
      <c r="I319" s="49">
        <f>Injeksi[[#This Row],[qtySaldoAwalSem1]]*Injeksi[[#This Row],[hargaSatuan]]</f>
        <v>699300</v>
      </c>
      <c r="J319" s="50">
        <v>0</v>
      </c>
      <c r="K319" s="51">
        <f>Injeksi[[#This Row],[qtyTerima2025]]*Injeksi[[#This Row],[hargaSatuan]]</f>
        <v>0</v>
      </c>
      <c r="L319" s="50">
        <v>300</v>
      </c>
      <c r="M319" s="51">
        <f>Injeksi[[#This Row],[qtyDist2025]]*Injeksi[[#This Row],[hargaSatuan]]</f>
        <v>699300</v>
      </c>
      <c r="N319" s="50">
        <v>0</v>
      </c>
      <c r="O319" s="51">
        <f>Injeksi[[#This Row],[qtyEd2025]]*Injeksi[[#This Row],[hargaSatuan]]</f>
        <v>0</v>
      </c>
      <c r="P319" s="50">
        <v>0</v>
      </c>
      <c r="Q319" s="52">
        <f>Injeksi[[#This Row],[qtySaldoAkhir2025]]*Injeksi[[#This Row],[hargaSatuan]]</f>
        <v>0</v>
      </c>
      <c r="S319" s="32">
        <f t="shared" si="8"/>
        <v>0</v>
      </c>
      <c r="T319" s="32">
        <f t="shared" si="9"/>
        <v>0</v>
      </c>
    </row>
    <row r="320" spans="1:20" ht="14.4" x14ac:dyDescent="0.3">
      <c r="A320" s="44">
        <v>27</v>
      </c>
      <c r="B320" s="45" t="s">
        <v>443</v>
      </c>
      <c r="C320" s="46" t="s">
        <v>413</v>
      </c>
      <c r="D320" s="47">
        <v>66362076</v>
      </c>
      <c r="E320" s="48">
        <v>46600</v>
      </c>
      <c r="F320" s="49">
        <v>2331</v>
      </c>
      <c r="G320" s="45" t="s">
        <v>54</v>
      </c>
      <c r="H320" s="50">
        <v>3600</v>
      </c>
      <c r="I320" s="49">
        <f>Injeksi[[#This Row],[qtySaldoAwalSem1]]*Injeksi[[#This Row],[hargaSatuan]]</f>
        <v>8391600</v>
      </c>
      <c r="J320" s="50">
        <v>0</v>
      </c>
      <c r="K320" s="51">
        <f>Injeksi[[#This Row],[qtyTerima2025]]*Injeksi[[#This Row],[hargaSatuan]]</f>
        <v>0</v>
      </c>
      <c r="L320" s="50">
        <v>1450</v>
      </c>
      <c r="M320" s="51">
        <f>Injeksi[[#This Row],[qtyDist2025]]*Injeksi[[#This Row],[hargaSatuan]]</f>
        <v>3379950</v>
      </c>
      <c r="N320" s="50">
        <v>0</v>
      </c>
      <c r="O320" s="51">
        <f>Injeksi[[#This Row],[qtyEd2025]]*Injeksi[[#This Row],[hargaSatuan]]</f>
        <v>0</v>
      </c>
      <c r="P320" s="50">
        <v>2150</v>
      </c>
      <c r="Q320" s="52">
        <f>Injeksi[[#This Row],[qtySaldoAkhir2025]]*Injeksi[[#This Row],[hargaSatuan]]</f>
        <v>5011650</v>
      </c>
      <c r="S320" s="32">
        <f t="shared" si="8"/>
        <v>5011650</v>
      </c>
      <c r="T320" s="32">
        <f t="shared" si="9"/>
        <v>0</v>
      </c>
    </row>
    <row r="321" spans="1:20" ht="14.4" x14ac:dyDescent="0.3">
      <c r="A321" s="44">
        <v>28</v>
      </c>
      <c r="B321" s="45" t="s">
        <v>443</v>
      </c>
      <c r="C321" s="46" t="s">
        <v>413</v>
      </c>
      <c r="D321" s="69" t="s">
        <v>445</v>
      </c>
      <c r="E321" s="48">
        <v>46600</v>
      </c>
      <c r="F321" s="49">
        <v>2331</v>
      </c>
      <c r="G321" s="45" t="s">
        <v>54</v>
      </c>
      <c r="H321" s="50">
        <v>600</v>
      </c>
      <c r="I321" s="49">
        <f>Injeksi[[#This Row],[qtySaldoAwalSem1]]*Injeksi[[#This Row],[hargaSatuan]]</f>
        <v>1398600</v>
      </c>
      <c r="J321" s="50">
        <v>0</v>
      </c>
      <c r="K321" s="51">
        <f>Injeksi[[#This Row],[qtyTerima2025]]*Injeksi[[#This Row],[hargaSatuan]]</f>
        <v>0</v>
      </c>
      <c r="L321" s="50">
        <v>600</v>
      </c>
      <c r="M321" s="51">
        <f>Injeksi[[#This Row],[qtyDist2025]]*Injeksi[[#This Row],[hargaSatuan]]</f>
        <v>1398600</v>
      </c>
      <c r="N321" s="50">
        <v>0</v>
      </c>
      <c r="O321" s="51">
        <f>Injeksi[[#This Row],[qtyEd2025]]*Injeksi[[#This Row],[hargaSatuan]]</f>
        <v>0</v>
      </c>
      <c r="P321" s="50">
        <v>0</v>
      </c>
      <c r="Q321" s="52">
        <f>Injeksi[[#This Row],[qtySaldoAkhir2025]]*Injeksi[[#This Row],[hargaSatuan]]</f>
        <v>0</v>
      </c>
      <c r="S321" s="32">
        <f t="shared" si="8"/>
        <v>0</v>
      </c>
      <c r="T321" s="32">
        <f t="shared" si="9"/>
        <v>0</v>
      </c>
    </row>
    <row r="322" spans="1:20" ht="14.4" x14ac:dyDescent="0.3">
      <c r="A322" s="44">
        <v>29</v>
      </c>
      <c r="B322" s="45" t="s">
        <v>446</v>
      </c>
      <c r="C322" s="46" t="s">
        <v>413</v>
      </c>
      <c r="D322" s="47">
        <v>66815019</v>
      </c>
      <c r="E322" s="68">
        <v>45839</v>
      </c>
      <c r="F322" s="49">
        <v>1848</v>
      </c>
      <c r="G322" s="45" t="s">
        <v>43</v>
      </c>
      <c r="H322" s="50">
        <v>15330</v>
      </c>
      <c r="I322" s="49">
        <f>Injeksi[[#This Row],[qtySaldoAwalSem1]]*Injeksi[[#This Row],[hargaSatuan]]</f>
        <v>28329840</v>
      </c>
      <c r="J322" s="50">
        <v>0</v>
      </c>
      <c r="K322" s="51">
        <f>Injeksi[[#This Row],[qtyTerima2025]]*Injeksi[[#This Row],[hargaSatuan]]</f>
        <v>0</v>
      </c>
      <c r="L322" s="50">
        <v>15330</v>
      </c>
      <c r="M322" s="51">
        <f>Injeksi[[#This Row],[qtyDist2025]]*Injeksi[[#This Row],[hargaSatuan]]</f>
        <v>28329840</v>
      </c>
      <c r="N322" s="50">
        <v>0</v>
      </c>
      <c r="O322" s="51">
        <f>Injeksi[[#This Row],[qtyEd2025]]*Injeksi[[#This Row],[hargaSatuan]]</f>
        <v>0</v>
      </c>
      <c r="P322" s="50">
        <v>0</v>
      </c>
      <c r="Q322" s="52">
        <f>Injeksi[[#This Row],[qtySaldoAkhir2025]]*Injeksi[[#This Row],[hargaSatuan]]</f>
        <v>0</v>
      </c>
      <c r="S322" s="32">
        <f t="shared" si="8"/>
        <v>0</v>
      </c>
      <c r="T322" s="32">
        <f t="shared" si="9"/>
        <v>0</v>
      </c>
    </row>
    <row r="323" spans="1:20" ht="14.4" x14ac:dyDescent="0.3">
      <c r="A323" s="44">
        <v>30</v>
      </c>
      <c r="B323" s="45" t="s">
        <v>446</v>
      </c>
      <c r="C323" s="46" t="s">
        <v>413</v>
      </c>
      <c r="D323" s="47">
        <v>66815021</v>
      </c>
      <c r="E323" s="48">
        <v>45870</v>
      </c>
      <c r="F323" s="49">
        <v>1848</v>
      </c>
      <c r="G323" s="45" t="s">
        <v>43</v>
      </c>
      <c r="H323" s="50">
        <v>1440</v>
      </c>
      <c r="I323" s="49">
        <f>Injeksi[[#This Row],[qtySaldoAwalSem1]]*Injeksi[[#This Row],[hargaSatuan]]</f>
        <v>2661120</v>
      </c>
      <c r="J323" s="50">
        <v>0</v>
      </c>
      <c r="K323" s="51">
        <f>Injeksi[[#This Row],[qtyTerima2025]]*Injeksi[[#This Row],[hargaSatuan]]</f>
        <v>0</v>
      </c>
      <c r="L323" s="50">
        <v>1440</v>
      </c>
      <c r="M323" s="51">
        <f>Injeksi[[#This Row],[qtyDist2025]]*Injeksi[[#This Row],[hargaSatuan]]</f>
        <v>2661120</v>
      </c>
      <c r="N323" s="50">
        <v>0</v>
      </c>
      <c r="O323" s="51">
        <f>Injeksi[[#This Row],[qtyEd2025]]*Injeksi[[#This Row],[hargaSatuan]]</f>
        <v>0</v>
      </c>
      <c r="P323" s="50">
        <v>0</v>
      </c>
      <c r="Q323" s="52">
        <f>Injeksi[[#This Row],[qtySaldoAkhir2025]]*Injeksi[[#This Row],[hargaSatuan]]</f>
        <v>0</v>
      </c>
      <c r="S323" s="32">
        <f t="shared" si="8"/>
        <v>0</v>
      </c>
      <c r="T323" s="32">
        <f t="shared" si="9"/>
        <v>0</v>
      </c>
    </row>
    <row r="324" spans="1:20" ht="14.4" x14ac:dyDescent="0.3">
      <c r="A324" s="44">
        <v>31</v>
      </c>
      <c r="B324" s="45" t="s">
        <v>446</v>
      </c>
      <c r="C324" s="46" t="s">
        <v>413</v>
      </c>
      <c r="D324" s="47">
        <v>66815033</v>
      </c>
      <c r="E324" s="68">
        <v>46327</v>
      </c>
      <c r="F324" s="49">
        <v>1848</v>
      </c>
      <c r="G324" s="45" t="s">
        <v>43</v>
      </c>
      <c r="H324" s="50">
        <v>9600</v>
      </c>
      <c r="I324" s="49">
        <f>Injeksi[[#This Row],[qtySaldoAwalSem1]]*Injeksi[[#This Row],[hargaSatuan]]</f>
        <v>17740800</v>
      </c>
      <c r="J324" s="50">
        <v>0</v>
      </c>
      <c r="K324" s="51">
        <f>Injeksi[[#This Row],[qtyTerima2025]]*Injeksi[[#This Row],[hargaSatuan]]</f>
        <v>0</v>
      </c>
      <c r="L324" s="50">
        <v>1430</v>
      </c>
      <c r="M324" s="51">
        <f>Injeksi[[#This Row],[qtyDist2025]]*Injeksi[[#This Row],[hargaSatuan]]</f>
        <v>2642640</v>
      </c>
      <c r="N324" s="50">
        <v>8170</v>
      </c>
      <c r="O324" s="51">
        <f>Injeksi[[#This Row],[qtyEd2025]]*Injeksi[[#This Row],[hargaSatuan]]</f>
        <v>15098160</v>
      </c>
      <c r="P324" s="50">
        <v>0</v>
      </c>
      <c r="Q324" s="52">
        <f>Injeksi[[#This Row],[qtySaldoAkhir2025]]*Injeksi[[#This Row],[hargaSatuan]]</f>
        <v>0</v>
      </c>
      <c r="S324" s="32">
        <f t="shared" si="8"/>
        <v>0</v>
      </c>
      <c r="T324" s="32">
        <f t="shared" si="9"/>
        <v>0</v>
      </c>
    </row>
    <row r="325" spans="1:20" ht="14.4" x14ac:dyDescent="0.3">
      <c r="A325" s="44">
        <v>32</v>
      </c>
      <c r="B325" s="45" t="s">
        <v>446</v>
      </c>
      <c r="C325" s="46" t="s">
        <v>413</v>
      </c>
      <c r="D325" s="47">
        <v>66815035</v>
      </c>
      <c r="E325" s="68">
        <v>45962</v>
      </c>
      <c r="F325" s="49">
        <v>1848</v>
      </c>
      <c r="G325" s="45" t="s">
        <v>54</v>
      </c>
      <c r="H325" s="50">
        <v>4970</v>
      </c>
      <c r="I325" s="49">
        <f>Injeksi[[#This Row],[qtySaldoAwalSem1]]*Injeksi[[#This Row],[hargaSatuan]]</f>
        <v>9184560</v>
      </c>
      <c r="J325" s="50">
        <v>0</v>
      </c>
      <c r="K325" s="51">
        <f>Injeksi[[#This Row],[qtyTerima2025]]*Injeksi[[#This Row],[hargaSatuan]]</f>
        <v>0</v>
      </c>
      <c r="L325" s="50">
        <v>0</v>
      </c>
      <c r="M325" s="51">
        <f>Injeksi[[#This Row],[qtyDist2025]]*Injeksi[[#This Row],[hargaSatuan]]</f>
        <v>0</v>
      </c>
      <c r="N325" s="50">
        <v>4970</v>
      </c>
      <c r="O325" s="51">
        <f>Injeksi[[#This Row],[qtyEd2025]]*Injeksi[[#This Row],[hargaSatuan]]</f>
        <v>9184560</v>
      </c>
      <c r="P325" s="50">
        <v>0</v>
      </c>
      <c r="Q325" s="52">
        <f>Injeksi[[#This Row],[qtySaldoAkhir2025]]*Injeksi[[#This Row],[hargaSatuan]]</f>
        <v>0</v>
      </c>
      <c r="S325" s="32">
        <f t="shared" si="8"/>
        <v>0</v>
      </c>
      <c r="T325" s="32">
        <f t="shared" si="9"/>
        <v>0</v>
      </c>
    </row>
    <row r="326" spans="1:20" ht="14.4" x14ac:dyDescent="0.3">
      <c r="A326" s="44">
        <v>33</v>
      </c>
      <c r="B326" s="45" t="s">
        <v>446</v>
      </c>
      <c r="C326" s="46" t="s">
        <v>413</v>
      </c>
      <c r="D326" s="47">
        <v>76815001</v>
      </c>
      <c r="E326" s="48">
        <v>46138</v>
      </c>
      <c r="F326" s="49">
        <v>1848</v>
      </c>
      <c r="G326" s="45" t="s">
        <v>54</v>
      </c>
      <c r="H326" s="50">
        <v>30</v>
      </c>
      <c r="I326" s="49">
        <f>Injeksi[[#This Row],[qtySaldoAwalSem1]]*Injeksi[[#This Row],[hargaSatuan]]</f>
        <v>55440</v>
      </c>
      <c r="J326" s="50">
        <v>0</v>
      </c>
      <c r="K326" s="51">
        <f>Injeksi[[#This Row],[qtyTerima2025]]*Injeksi[[#This Row],[hargaSatuan]]</f>
        <v>0</v>
      </c>
      <c r="L326" s="50">
        <v>30</v>
      </c>
      <c r="M326" s="51">
        <f>Injeksi[[#This Row],[qtyDist2025]]*Injeksi[[#This Row],[hargaSatuan]]</f>
        <v>55440</v>
      </c>
      <c r="N326" s="50">
        <v>0</v>
      </c>
      <c r="O326" s="51">
        <f>Injeksi[[#This Row],[qtyEd2025]]*Injeksi[[#This Row],[hargaSatuan]]</f>
        <v>0</v>
      </c>
      <c r="P326" s="50">
        <v>0</v>
      </c>
      <c r="Q326" s="52">
        <f>Injeksi[[#This Row],[qtySaldoAkhir2025]]*Injeksi[[#This Row],[hargaSatuan]]</f>
        <v>0</v>
      </c>
      <c r="S326" s="32">
        <f t="shared" si="8"/>
        <v>0</v>
      </c>
      <c r="T326" s="32">
        <f t="shared" si="9"/>
        <v>0</v>
      </c>
    </row>
    <row r="327" spans="1:20" ht="14.4" x14ac:dyDescent="0.3">
      <c r="A327" s="44">
        <v>34</v>
      </c>
      <c r="B327" s="45" t="s">
        <v>447</v>
      </c>
      <c r="C327" s="46" t="s">
        <v>38</v>
      </c>
      <c r="D327" s="47" t="s">
        <v>448</v>
      </c>
      <c r="E327" s="48">
        <v>46079</v>
      </c>
      <c r="F327" s="49">
        <v>4973</v>
      </c>
      <c r="G327" s="45" t="s">
        <v>54</v>
      </c>
      <c r="H327" s="50">
        <v>110</v>
      </c>
      <c r="I327" s="49">
        <f>Injeksi[[#This Row],[qtySaldoAwalSem1]]*Injeksi[[#This Row],[hargaSatuan]]</f>
        <v>547030</v>
      </c>
      <c r="J327" s="50">
        <v>0</v>
      </c>
      <c r="K327" s="51">
        <f>Injeksi[[#This Row],[qtyTerima2025]]*Injeksi[[#This Row],[hargaSatuan]]</f>
        <v>0</v>
      </c>
      <c r="L327" s="50">
        <v>110</v>
      </c>
      <c r="M327" s="51">
        <f>Injeksi[[#This Row],[qtyDist2025]]*Injeksi[[#This Row],[hargaSatuan]]</f>
        <v>547030</v>
      </c>
      <c r="N327" s="50">
        <v>0</v>
      </c>
      <c r="O327" s="51">
        <f>Injeksi[[#This Row],[qtyEd2025]]*Injeksi[[#This Row],[hargaSatuan]]</f>
        <v>0</v>
      </c>
      <c r="P327" s="50">
        <v>0</v>
      </c>
      <c r="Q327" s="52">
        <f>Injeksi[[#This Row],[qtySaldoAkhir2025]]*Injeksi[[#This Row],[hargaSatuan]]</f>
        <v>0</v>
      </c>
      <c r="S327" s="32">
        <f t="shared" si="8"/>
        <v>0</v>
      </c>
      <c r="T327" s="32">
        <f t="shared" si="9"/>
        <v>0</v>
      </c>
    </row>
    <row r="328" spans="1:20" ht="14.4" x14ac:dyDescent="0.3">
      <c r="A328" s="44">
        <v>35</v>
      </c>
      <c r="B328" s="45" t="s">
        <v>447</v>
      </c>
      <c r="C328" s="46" t="s">
        <v>38</v>
      </c>
      <c r="D328" s="47" t="s">
        <v>449</v>
      </c>
      <c r="E328" s="68">
        <v>46419</v>
      </c>
      <c r="F328" s="49">
        <v>6227</v>
      </c>
      <c r="G328" s="45" t="s">
        <v>18</v>
      </c>
      <c r="H328" s="50">
        <v>0</v>
      </c>
      <c r="I328" s="49">
        <f>Injeksi[[#This Row],[qtySaldoAwalSem1]]*Injeksi[[#This Row],[hargaSatuan]]</f>
        <v>0</v>
      </c>
      <c r="J328" s="50">
        <v>240</v>
      </c>
      <c r="K328" s="51">
        <f>Injeksi[[#This Row],[qtyTerima2025]]*Injeksi[[#This Row],[hargaSatuan]]</f>
        <v>1494480</v>
      </c>
      <c r="L328" s="50">
        <v>77</v>
      </c>
      <c r="M328" s="51">
        <f>Injeksi[[#This Row],[qtyDist2025]]*Injeksi[[#This Row],[hargaSatuan]]</f>
        <v>479479</v>
      </c>
      <c r="N328" s="50">
        <v>0</v>
      </c>
      <c r="O328" s="51">
        <f>Injeksi[[#This Row],[qtyEd2025]]*Injeksi[[#This Row],[hargaSatuan]]</f>
        <v>0</v>
      </c>
      <c r="P328" s="50">
        <v>163</v>
      </c>
      <c r="Q328" s="52">
        <f>Injeksi[[#This Row],[qtySaldoAkhir2025]]*Injeksi[[#This Row],[hargaSatuan]]</f>
        <v>1015001</v>
      </c>
      <c r="S328" s="32">
        <f t="shared" ref="S328:S391" si="10">IFERROR(I328+K328-(M328+O328),0)</f>
        <v>1015001</v>
      </c>
      <c r="T328" s="32">
        <f t="shared" ref="T328:T391" si="11">IFERROR(Q328-S328,0)</f>
        <v>0</v>
      </c>
    </row>
    <row r="329" spans="1:20" ht="14.4" x14ac:dyDescent="0.3">
      <c r="A329" s="44">
        <v>36</v>
      </c>
      <c r="B329" s="45" t="s">
        <v>450</v>
      </c>
      <c r="C329" s="46" t="s">
        <v>38</v>
      </c>
      <c r="D329" s="47" t="s">
        <v>451</v>
      </c>
      <c r="E329" s="68">
        <v>45658</v>
      </c>
      <c r="F329" s="49">
        <v>5661</v>
      </c>
      <c r="G329" s="45" t="s">
        <v>54</v>
      </c>
      <c r="H329" s="50">
        <v>232</v>
      </c>
      <c r="I329" s="49">
        <f>Injeksi[[#This Row],[qtySaldoAwalSem1]]*Injeksi[[#This Row],[hargaSatuan]]</f>
        <v>1313352</v>
      </c>
      <c r="J329" s="50">
        <v>0</v>
      </c>
      <c r="K329" s="51">
        <f>Injeksi[[#This Row],[qtyTerima2025]]*Injeksi[[#This Row],[hargaSatuan]]</f>
        <v>0</v>
      </c>
      <c r="L329" s="50">
        <v>0</v>
      </c>
      <c r="M329" s="51">
        <f>Injeksi[[#This Row],[qtyDist2025]]*Injeksi[[#This Row],[hargaSatuan]]</f>
        <v>0</v>
      </c>
      <c r="N329" s="50">
        <v>232</v>
      </c>
      <c r="O329" s="51">
        <f>Injeksi[[#This Row],[qtyEd2025]]*Injeksi[[#This Row],[hargaSatuan]]</f>
        <v>1313352</v>
      </c>
      <c r="P329" s="50">
        <v>0</v>
      </c>
      <c r="Q329" s="52">
        <f>Injeksi[[#This Row],[qtySaldoAkhir2025]]*Injeksi[[#This Row],[hargaSatuan]]</f>
        <v>0</v>
      </c>
      <c r="S329" s="32">
        <f t="shared" si="10"/>
        <v>0</v>
      </c>
      <c r="T329" s="32">
        <f t="shared" si="11"/>
        <v>0</v>
      </c>
    </row>
    <row r="330" spans="1:20" ht="14.4" x14ac:dyDescent="0.3">
      <c r="A330" s="44">
        <v>37</v>
      </c>
      <c r="B330" s="45" t="s">
        <v>450</v>
      </c>
      <c r="C330" s="46" t="s">
        <v>38</v>
      </c>
      <c r="D330" s="47" t="s">
        <v>452</v>
      </c>
      <c r="E330" s="68">
        <v>45658</v>
      </c>
      <c r="F330" s="49">
        <v>6100</v>
      </c>
      <c r="G330" s="45" t="s">
        <v>40</v>
      </c>
      <c r="H330" s="50">
        <v>120</v>
      </c>
      <c r="I330" s="49">
        <f>Injeksi[[#This Row],[qtySaldoAwalSem1]]*Injeksi[[#This Row],[hargaSatuan]]</f>
        <v>732000</v>
      </c>
      <c r="J330" s="50">
        <v>0</v>
      </c>
      <c r="K330" s="51">
        <f>Injeksi[[#This Row],[qtyTerima2025]]*Injeksi[[#This Row],[hargaSatuan]]</f>
        <v>0</v>
      </c>
      <c r="L330" s="50">
        <v>0</v>
      </c>
      <c r="M330" s="51">
        <f>Injeksi[[#This Row],[qtyDist2025]]*Injeksi[[#This Row],[hargaSatuan]]</f>
        <v>0</v>
      </c>
      <c r="N330" s="50">
        <v>120</v>
      </c>
      <c r="O330" s="51">
        <f>Injeksi[[#This Row],[qtyEd2025]]*Injeksi[[#This Row],[hargaSatuan]]</f>
        <v>732000</v>
      </c>
      <c r="P330" s="50">
        <v>0</v>
      </c>
      <c r="Q330" s="52">
        <f>Injeksi[[#This Row],[qtySaldoAkhir2025]]*Injeksi[[#This Row],[hargaSatuan]]</f>
        <v>0</v>
      </c>
      <c r="S330" s="32">
        <f t="shared" si="10"/>
        <v>0</v>
      </c>
      <c r="T330" s="32">
        <f t="shared" si="11"/>
        <v>0</v>
      </c>
    </row>
    <row r="331" spans="1:20" ht="14.4" x14ac:dyDescent="0.3">
      <c r="A331" s="44">
        <v>38</v>
      </c>
      <c r="B331" s="45" t="s">
        <v>450</v>
      </c>
      <c r="C331" s="46" t="s">
        <v>38</v>
      </c>
      <c r="D331" s="47" t="s">
        <v>453</v>
      </c>
      <c r="E331" s="68">
        <v>46419</v>
      </c>
      <c r="F331" s="49">
        <v>5470</v>
      </c>
      <c r="G331" s="45" t="s">
        <v>18</v>
      </c>
      <c r="H331" s="50">
        <v>0</v>
      </c>
      <c r="I331" s="49">
        <f>Injeksi[[#This Row],[qtySaldoAwalSem1]]*Injeksi[[#This Row],[hargaSatuan]]</f>
        <v>0</v>
      </c>
      <c r="J331" s="50">
        <v>240</v>
      </c>
      <c r="K331" s="51">
        <f>Injeksi[[#This Row],[qtyTerima2025]]*Injeksi[[#This Row],[hargaSatuan]]</f>
        <v>1312800</v>
      </c>
      <c r="L331" s="50">
        <v>66</v>
      </c>
      <c r="M331" s="51">
        <f>Injeksi[[#This Row],[qtyDist2025]]*Injeksi[[#This Row],[hargaSatuan]]</f>
        <v>361020</v>
      </c>
      <c r="N331" s="50">
        <v>6</v>
      </c>
      <c r="O331" s="51">
        <f>Injeksi[[#This Row],[qtyEd2025]]*Injeksi[[#This Row],[hargaSatuan]]</f>
        <v>32820</v>
      </c>
      <c r="P331" s="50">
        <v>168</v>
      </c>
      <c r="Q331" s="52">
        <f>Injeksi[[#This Row],[qtySaldoAkhir2025]]*Injeksi[[#This Row],[hargaSatuan]]</f>
        <v>918960</v>
      </c>
      <c r="S331" s="32">
        <f t="shared" si="10"/>
        <v>918960</v>
      </c>
      <c r="T331" s="32">
        <f t="shared" si="11"/>
        <v>0</v>
      </c>
    </row>
    <row r="332" spans="1:20" ht="14.4" x14ac:dyDescent="0.3">
      <c r="A332" s="44">
        <v>39</v>
      </c>
      <c r="B332" s="45" t="s">
        <v>454</v>
      </c>
      <c r="C332" s="46" t="s">
        <v>413</v>
      </c>
      <c r="D332" s="47" t="s">
        <v>455</v>
      </c>
      <c r="E332" s="72">
        <v>46296</v>
      </c>
      <c r="F332" s="73">
        <v>4190</v>
      </c>
      <c r="G332" s="45" t="s">
        <v>54</v>
      </c>
      <c r="H332" s="50">
        <v>250</v>
      </c>
      <c r="I332" s="49">
        <f>Injeksi[[#This Row],[qtySaldoAwalSem1]]*Injeksi[[#This Row],[hargaSatuan]]</f>
        <v>1047500</v>
      </c>
      <c r="J332" s="50">
        <v>0</v>
      </c>
      <c r="K332" s="51">
        <f>Injeksi[[#This Row],[qtyTerima2025]]*Injeksi[[#This Row],[hargaSatuan]]</f>
        <v>0</v>
      </c>
      <c r="L332" s="50">
        <v>250</v>
      </c>
      <c r="M332" s="51">
        <f>Injeksi[[#This Row],[qtyDist2025]]*Injeksi[[#This Row],[hargaSatuan]]</f>
        <v>1047500</v>
      </c>
      <c r="N332" s="50">
        <v>0</v>
      </c>
      <c r="O332" s="51">
        <f>Injeksi[[#This Row],[qtyEd2025]]*Injeksi[[#This Row],[hargaSatuan]]</f>
        <v>0</v>
      </c>
      <c r="P332" s="50">
        <v>0</v>
      </c>
      <c r="Q332" s="52">
        <f>Injeksi[[#This Row],[qtySaldoAkhir2025]]*Injeksi[[#This Row],[hargaSatuan]]</f>
        <v>0</v>
      </c>
      <c r="S332" s="32">
        <f t="shared" si="10"/>
        <v>0</v>
      </c>
      <c r="T332" s="32">
        <f t="shared" si="11"/>
        <v>0</v>
      </c>
    </row>
    <row r="333" spans="1:20" ht="14.4" x14ac:dyDescent="0.3">
      <c r="A333" s="44">
        <v>40</v>
      </c>
      <c r="B333" s="45" t="s">
        <v>454</v>
      </c>
      <c r="C333" s="46" t="s">
        <v>413</v>
      </c>
      <c r="D333" s="47" t="s">
        <v>456</v>
      </c>
      <c r="E333" s="48">
        <v>47604</v>
      </c>
      <c r="F333" s="49">
        <v>4310</v>
      </c>
      <c r="G333" s="45" t="s">
        <v>18</v>
      </c>
      <c r="H333" s="50">
        <v>0</v>
      </c>
      <c r="I333" s="49">
        <f>Injeksi[[#This Row],[qtySaldoAwalSem1]]*Injeksi[[#This Row],[hargaSatuan]]</f>
        <v>0</v>
      </c>
      <c r="J333" s="50">
        <v>1000</v>
      </c>
      <c r="K333" s="51">
        <f>Injeksi[[#This Row],[qtyTerima2025]]*Injeksi[[#This Row],[hargaSatuan]]</f>
        <v>4310000</v>
      </c>
      <c r="L333" s="50">
        <v>1000</v>
      </c>
      <c r="M333" s="51">
        <f>Injeksi[[#This Row],[qtyDist2025]]*Injeksi[[#This Row],[hargaSatuan]]</f>
        <v>4310000</v>
      </c>
      <c r="N333" s="50">
        <v>0</v>
      </c>
      <c r="O333" s="51">
        <f>Injeksi[[#This Row],[qtyEd2025]]*Injeksi[[#This Row],[hargaSatuan]]</f>
        <v>0</v>
      </c>
      <c r="P333" s="50">
        <v>0</v>
      </c>
      <c r="Q333" s="52">
        <f>Injeksi[[#This Row],[qtySaldoAkhir2025]]*Injeksi[[#This Row],[hargaSatuan]]</f>
        <v>0</v>
      </c>
      <c r="S333" s="32">
        <f t="shared" si="10"/>
        <v>0</v>
      </c>
      <c r="T333" s="32">
        <f t="shared" si="11"/>
        <v>0</v>
      </c>
    </row>
    <row r="334" spans="1:20" ht="14.4" x14ac:dyDescent="0.3">
      <c r="A334" s="44">
        <v>41</v>
      </c>
      <c r="B334" s="45" t="s">
        <v>454</v>
      </c>
      <c r="C334" s="46" t="s">
        <v>413</v>
      </c>
      <c r="D334" s="47" t="s">
        <v>457</v>
      </c>
      <c r="E334" s="48">
        <v>47604</v>
      </c>
      <c r="F334" s="49">
        <v>4310</v>
      </c>
      <c r="G334" s="45" t="s">
        <v>18</v>
      </c>
      <c r="H334" s="50">
        <v>0</v>
      </c>
      <c r="I334" s="49">
        <f>Injeksi[[#This Row],[qtySaldoAwalSem1]]*Injeksi[[#This Row],[hargaSatuan]]</f>
        <v>0</v>
      </c>
      <c r="J334" s="50">
        <v>9300</v>
      </c>
      <c r="K334" s="51">
        <f>Injeksi[[#This Row],[qtyTerima2025]]*Injeksi[[#This Row],[hargaSatuan]]</f>
        <v>40083000</v>
      </c>
      <c r="L334" s="50">
        <v>3820</v>
      </c>
      <c r="M334" s="51">
        <f>Injeksi[[#This Row],[qtyDist2025]]*Injeksi[[#This Row],[hargaSatuan]]</f>
        <v>16464200</v>
      </c>
      <c r="N334" s="50">
        <v>0</v>
      </c>
      <c r="O334" s="51">
        <f>Injeksi[[#This Row],[qtyEd2025]]*Injeksi[[#This Row],[hargaSatuan]]</f>
        <v>0</v>
      </c>
      <c r="P334" s="50">
        <v>5480</v>
      </c>
      <c r="Q334" s="52">
        <f>Injeksi[[#This Row],[qtySaldoAkhir2025]]*Injeksi[[#This Row],[hargaSatuan]]</f>
        <v>23618800</v>
      </c>
      <c r="S334" s="32">
        <f t="shared" si="10"/>
        <v>23618800</v>
      </c>
      <c r="T334" s="32">
        <f t="shared" si="11"/>
        <v>0</v>
      </c>
    </row>
    <row r="335" spans="1:20" ht="14.4" x14ac:dyDescent="0.3">
      <c r="A335" s="44">
        <v>42</v>
      </c>
      <c r="B335" s="45" t="s">
        <v>454</v>
      </c>
      <c r="C335" s="46" t="s">
        <v>413</v>
      </c>
      <c r="D335" s="47" t="s">
        <v>458</v>
      </c>
      <c r="E335" s="68">
        <v>47727</v>
      </c>
      <c r="F335" s="49">
        <v>4200.24</v>
      </c>
      <c r="G335" s="45" t="s">
        <v>18</v>
      </c>
      <c r="H335" s="50">
        <v>0</v>
      </c>
      <c r="I335" s="49">
        <f>Injeksi[[#This Row],[qtySaldoAwalSem1]]*Injeksi[[#This Row],[hargaSatuan]]</f>
        <v>0</v>
      </c>
      <c r="J335" s="50">
        <v>5000</v>
      </c>
      <c r="K335" s="51">
        <f>Injeksi[[#This Row],[qtyTerima2025]]*Injeksi[[#This Row],[hargaSatuan]]</f>
        <v>21001200</v>
      </c>
      <c r="L335" s="50">
        <v>0</v>
      </c>
      <c r="M335" s="51">
        <f>Injeksi[[#This Row],[qtyDist2025]]*Injeksi[[#This Row],[hargaSatuan]]</f>
        <v>0</v>
      </c>
      <c r="N335" s="50">
        <v>0</v>
      </c>
      <c r="O335" s="51">
        <f>Injeksi[[#This Row],[qtyEd2025]]*Injeksi[[#This Row],[hargaSatuan]]</f>
        <v>0</v>
      </c>
      <c r="P335" s="50">
        <v>5000</v>
      </c>
      <c r="Q335" s="52">
        <f>Injeksi[[#This Row],[qtySaldoAkhir2025]]*Injeksi[[#This Row],[hargaSatuan]]</f>
        <v>21001200</v>
      </c>
      <c r="S335" s="32">
        <f t="shared" si="10"/>
        <v>21001200</v>
      </c>
      <c r="T335" s="32">
        <f t="shared" si="11"/>
        <v>0</v>
      </c>
    </row>
    <row r="336" spans="1:20" ht="14.4" x14ac:dyDescent="0.3">
      <c r="A336" s="44">
        <v>43</v>
      </c>
      <c r="B336" s="45" t="s">
        <v>459</v>
      </c>
      <c r="C336" s="46" t="s">
        <v>413</v>
      </c>
      <c r="D336" s="47" t="s">
        <v>460</v>
      </c>
      <c r="E336" s="48">
        <v>46048</v>
      </c>
      <c r="F336" s="49">
        <v>2569</v>
      </c>
      <c r="G336" s="45" t="s">
        <v>40</v>
      </c>
      <c r="H336" s="50">
        <v>273</v>
      </c>
      <c r="I336" s="49">
        <f>Injeksi[[#This Row],[qtySaldoAwalSem1]]*Injeksi[[#This Row],[hargaSatuan]]</f>
        <v>701337</v>
      </c>
      <c r="J336" s="50">
        <v>0</v>
      </c>
      <c r="K336" s="51">
        <f>Injeksi[[#This Row],[qtyTerima2025]]*Injeksi[[#This Row],[hargaSatuan]]</f>
        <v>0</v>
      </c>
      <c r="L336" s="50">
        <v>220</v>
      </c>
      <c r="M336" s="51">
        <f>Injeksi[[#This Row],[qtyDist2025]]*Injeksi[[#This Row],[hargaSatuan]]</f>
        <v>565180</v>
      </c>
      <c r="N336" s="50">
        <v>0</v>
      </c>
      <c r="O336" s="51">
        <f>Injeksi[[#This Row],[qtyEd2025]]*Injeksi[[#This Row],[hargaSatuan]]</f>
        <v>0</v>
      </c>
      <c r="P336" s="50">
        <v>53</v>
      </c>
      <c r="Q336" s="52">
        <f>Injeksi[[#This Row],[qtySaldoAkhir2025]]*Injeksi[[#This Row],[hargaSatuan]]</f>
        <v>136157</v>
      </c>
      <c r="S336" s="32">
        <f t="shared" si="10"/>
        <v>136157</v>
      </c>
      <c r="T336" s="32">
        <f t="shared" si="11"/>
        <v>0</v>
      </c>
    </row>
    <row r="337" spans="1:59" ht="14.4" x14ac:dyDescent="0.3">
      <c r="A337" s="44">
        <v>44</v>
      </c>
      <c r="B337" s="45" t="s">
        <v>459</v>
      </c>
      <c r="C337" s="46" t="s">
        <v>413</v>
      </c>
      <c r="D337" s="47" t="s">
        <v>461</v>
      </c>
      <c r="E337" s="48">
        <v>46199</v>
      </c>
      <c r="F337" s="49">
        <v>2200</v>
      </c>
      <c r="G337" s="45" t="s">
        <v>54</v>
      </c>
      <c r="H337" s="50">
        <v>400</v>
      </c>
      <c r="I337" s="49">
        <f>Injeksi[[#This Row],[qtySaldoAwalSem1]]*Injeksi[[#This Row],[hargaSatuan]]</f>
        <v>880000</v>
      </c>
      <c r="J337" s="50">
        <v>0</v>
      </c>
      <c r="K337" s="51">
        <f>Injeksi[[#This Row],[qtyTerima2025]]*Injeksi[[#This Row],[hargaSatuan]]</f>
        <v>0</v>
      </c>
      <c r="L337" s="50">
        <v>35</v>
      </c>
      <c r="M337" s="51">
        <f>Injeksi[[#This Row],[qtyDist2025]]*Injeksi[[#This Row],[hargaSatuan]]</f>
        <v>77000</v>
      </c>
      <c r="N337" s="50">
        <v>0</v>
      </c>
      <c r="O337" s="51">
        <f>Injeksi[[#This Row],[qtyEd2025]]*Injeksi[[#This Row],[hargaSatuan]]</f>
        <v>0</v>
      </c>
      <c r="P337" s="50">
        <v>365</v>
      </c>
      <c r="Q337" s="52">
        <f>Injeksi[[#This Row],[qtySaldoAkhir2025]]*Injeksi[[#This Row],[hargaSatuan]]</f>
        <v>803000</v>
      </c>
      <c r="S337" s="32">
        <f t="shared" si="10"/>
        <v>803000</v>
      </c>
      <c r="T337" s="32">
        <f t="shared" si="11"/>
        <v>0</v>
      </c>
    </row>
    <row r="338" spans="1:59" ht="14.4" x14ac:dyDescent="0.3">
      <c r="A338" s="44">
        <v>45</v>
      </c>
      <c r="B338" s="45" t="s">
        <v>459</v>
      </c>
      <c r="C338" s="46" t="s">
        <v>413</v>
      </c>
      <c r="D338" s="47" t="s">
        <v>462</v>
      </c>
      <c r="E338" s="68">
        <v>46569</v>
      </c>
      <c r="F338" s="49">
        <v>2220</v>
      </c>
      <c r="G338" s="45" t="s">
        <v>18</v>
      </c>
      <c r="H338" s="50">
        <v>0</v>
      </c>
      <c r="I338" s="49">
        <f>Injeksi[[#This Row],[qtySaldoAwalSem1]]*Injeksi[[#This Row],[hargaSatuan]]</f>
        <v>0</v>
      </c>
      <c r="J338" s="50">
        <v>3000</v>
      </c>
      <c r="K338" s="51">
        <f>Injeksi[[#This Row],[qtyTerima2025]]*Injeksi[[#This Row],[hargaSatuan]]</f>
        <v>6660000</v>
      </c>
      <c r="L338" s="50">
        <v>0</v>
      </c>
      <c r="M338" s="51">
        <f>Injeksi[[#This Row],[qtyDist2025]]*Injeksi[[#This Row],[hargaSatuan]]</f>
        <v>0</v>
      </c>
      <c r="N338" s="50">
        <v>0</v>
      </c>
      <c r="O338" s="51">
        <f>Injeksi[[#This Row],[qtyEd2025]]*Injeksi[[#This Row],[hargaSatuan]]</f>
        <v>0</v>
      </c>
      <c r="P338" s="50">
        <v>3000</v>
      </c>
      <c r="Q338" s="52">
        <f>Injeksi[[#This Row],[qtySaldoAkhir2025]]*Injeksi[[#This Row],[hargaSatuan]]</f>
        <v>6660000</v>
      </c>
      <c r="S338" s="32">
        <f t="shared" si="10"/>
        <v>6660000</v>
      </c>
      <c r="T338" s="32">
        <f t="shared" si="11"/>
        <v>0</v>
      </c>
    </row>
    <row r="339" spans="1:59" ht="14.4" x14ac:dyDescent="0.3">
      <c r="A339" s="44">
        <v>46</v>
      </c>
      <c r="B339" s="45" t="s">
        <v>463</v>
      </c>
      <c r="C339" s="46" t="s">
        <v>413</v>
      </c>
      <c r="D339" s="47" t="s">
        <v>464</v>
      </c>
      <c r="E339" s="48">
        <v>46296</v>
      </c>
      <c r="F339" s="49">
        <v>5600</v>
      </c>
      <c r="G339" s="45" t="s">
        <v>54</v>
      </c>
      <c r="H339" s="50">
        <v>360</v>
      </c>
      <c r="I339" s="49">
        <f>Injeksi[[#This Row],[qtySaldoAwalSem1]]*Injeksi[[#This Row],[hargaSatuan]]</f>
        <v>2016000</v>
      </c>
      <c r="J339" s="50">
        <v>0</v>
      </c>
      <c r="K339" s="51">
        <f>Injeksi[[#This Row],[qtyTerima2025]]*Injeksi[[#This Row],[hargaSatuan]]</f>
        <v>0</v>
      </c>
      <c r="L339" s="50">
        <v>360</v>
      </c>
      <c r="M339" s="51">
        <f>Injeksi[[#This Row],[qtyDist2025]]*Injeksi[[#This Row],[hargaSatuan]]</f>
        <v>2016000</v>
      </c>
      <c r="N339" s="50">
        <v>0</v>
      </c>
      <c r="O339" s="51">
        <f>Injeksi[[#This Row],[qtyEd2025]]*Injeksi[[#This Row],[hargaSatuan]]</f>
        <v>0</v>
      </c>
      <c r="P339" s="50">
        <v>0</v>
      </c>
      <c r="Q339" s="52">
        <f>Injeksi[[#This Row],[qtySaldoAkhir2025]]*Injeksi[[#This Row],[hargaSatuan]]</f>
        <v>0</v>
      </c>
      <c r="S339" s="32">
        <f t="shared" si="10"/>
        <v>0</v>
      </c>
      <c r="T339" s="32">
        <f t="shared" si="11"/>
        <v>0</v>
      </c>
    </row>
    <row r="340" spans="1:59" ht="14.4" x14ac:dyDescent="0.3">
      <c r="A340" s="44">
        <v>47</v>
      </c>
      <c r="B340" s="45" t="s">
        <v>463</v>
      </c>
      <c r="C340" s="46" t="s">
        <v>413</v>
      </c>
      <c r="D340" s="47" t="s">
        <v>465</v>
      </c>
      <c r="E340" s="68">
        <v>46388</v>
      </c>
      <c r="F340" s="49">
        <v>5600</v>
      </c>
      <c r="G340" s="45" t="s">
        <v>54</v>
      </c>
      <c r="H340" s="50">
        <v>210</v>
      </c>
      <c r="I340" s="49">
        <f>Injeksi[[#This Row],[qtySaldoAwalSem1]]*Injeksi[[#This Row],[hargaSatuan]]</f>
        <v>1176000</v>
      </c>
      <c r="J340" s="50">
        <v>0</v>
      </c>
      <c r="K340" s="51">
        <f>Injeksi[[#This Row],[qtyTerima2025]]*Injeksi[[#This Row],[hargaSatuan]]</f>
        <v>0</v>
      </c>
      <c r="L340" s="50">
        <v>210</v>
      </c>
      <c r="M340" s="51">
        <f>Injeksi[[#This Row],[qtyDist2025]]*Injeksi[[#This Row],[hargaSatuan]]</f>
        <v>1176000</v>
      </c>
      <c r="N340" s="50">
        <v>0</v>
      </c>
      <c r="O340" s="51">
        <f>Injeksi[[#This Row],[qtyEd2025]]*Injeksi[[#This Row],[hargaSatuan]]</f>
        <v>0</v>
      </c>
      <c r="P340" s="50">
        <v>0</v>
      </c>
      <c r="Q340" s="52">
        <f>Injeksi[[#This Row],[qtySaldoAkhir2025]]*Injeksi[[#This Row],[hargaSatuan]]</f>
        <v>0</v>
      </c>
      <c r="S340" s="32">
        <f t="shared" si="10"/>
        <v>0</v>
      </c>
      <c r="T340" s="32">
        <f t="shared" si="11"/>
        <v>0</v>
      </c>
    </row>
    <row r="341" spans="1:59" ht="14.4" x14ac:dyDescent="0.3">
      <c r="A341" s="44">
        <v>48</v>
      </c>
      <c r="B341" s="45" t="s">
        <v>463</v>
      </c>
      <c r="C341" s="46" t="s">
        <v>413</v>
      </c>
      <c r="D341" s="47" t="s">
        <v>466</v>
      </c>
      <c r="E341" s="48">
        <v>46508</v>
      </c>
      <c r="F341" s="49">
        <v>5600</v>
      </c>
      <c r="G341" s="45" t="s">
        <v>54</v>
      </c>
      <c r="H341" s="50">
        <v>138</v>
      </c>
      <c r="I341" s="49">
        <f>Injeksi[[#This Row],[qtySaldoAwalSem1]]*Injeksi[[#This Row],[hargaSatuan]]</f>
        <v>772800</v>
      </c>
      <c r="J341" s="50">
        <v>0</v>
      </c>
      <c r="K341" s="51">
        <f>Injeksi[[#This Row],[qtyTerima2025]]*Injeksi[[#This Row],[hargaSatuan]]</f>
        <v>0</v>
      </c>
      <c r="L341" s="50">
        <v>60</v>
      </c>
      <c r="M341" s="51">
        <f>Injeksi[[#This Row],[qtyDist2025]]*Injeksi[[#This Row],[hargaSatuan]]</f>
        <v>336000</v>
      </c>
      <c r="N341" s="50">
        <v>0</v>
      </c>
      <c r="O341" s="51">
        <f>Injeksi[[#This Row],[qtyEd2025]]*Injeksi[[#This Row],[hargaSatuan]]</f>
        <v>0</v>
      </c>
      <c r="P341" s="50">
        <v>78</v>
      </c>
      <c r="Q341" s="52">
        <f>Injeksi[[#This Row],[qtySaldoAkhir2025]]*Injeksi[[#This Row],[hargaSatuan]]</f>
        <v>436800</v>
      </c>
      <c r="S341" s="32">
        <f t="shared" si="10"/>
        <v>436800</v>
      </c>
      <c r="T341" s="32">
        <f t="shared" si="11"/>
        <v>0</v>
      </c>
    </row>
    <row r="342" spans="1:59" ht="14.4" x14ac:dyDescent="0.3">
      <c r="A342" s="44">
        <v>49</v>
      </c>
      <c r="B342" s="45" t="s">
        <v>467</v>
      </c>
      <c r="C342" s="46" t="s">
        <v>413</v>
      </c>
      <c r="D342" s="47">
        <v>4620999</v>
      </c>
      <c r="E342" s="68">
        <v>45809</v>
      </c>
      <c r="F342" s="49">
        <v>6613</v>
      </c>
      <c r="G342" s="45" t="s">
        <v>54</v>
      </c>
      <c r="H342" s="50">
        <v>130</v>
      </c>
      <c r="I342" s="49">
        <f>Injeksi[[#This Row],[qtySaldoAwalSem1]]*Injeksi[[#This Row],[hargaSatuan]]</f>
        <v>859690</v>
      </c>
      <c r="J342" s="50">
        <v>0</v>
      </c>
      <c r="K342" s="51">
        <f>Injeksi[[#This Row],[qtyTerima2025]]*Injeksi[[#This Row],[hargaSatuan]]</f>
        <v>0</v>
      </c>
      <c r="L342" s="50">
        <v>5</v>
      </c>
      <c r="M342" s="51">
        <f>Injeksi[[#This Row],[qtyDist2025]]*Injeksi[[#This Row],[hargaSatuan]]</f>
        <v>33065</v>
      </c>
      <c r="N342" s="50">
        <v>125</v>
      </c>
      <c r="O342" s="51">
        <f>Injeksi[[#This Row],[qtyEd2025]]*Injeksi[[#This Row],[hargaSatuan]]</f>
        <v>826625</v>
      </c>
      <c r="P342" s="50">
        <v>0</v>
      </c>
      <c r="Q342" s="52">
        <f>Injeksi[[#This Row],[qtySaldoAkhir2025]]*Injeksi[[#This Row],[hargaSatuan]]</f>
        <v>0</v>
      </c>
      <c r="S342" s="32">
        <f t="shared" si="10"/>
        <v>0</v>
      </c>
      <c r="T342" s="32">
        <f t="shared" si="11"/>
        <v>0</v>
      </c>
    </row>
    <row r="343" spans="1:59" ht="14.4" x14ac:dyDescent="0.3">
      <c r="A343" s="44">
        <v>50</v>
      </c>
      <c r="B343" s="45" t="s">
        <v>468</v>
      </c>
      <c r="C343" s="46" t="s">
        <v>413</v>
      </c>
      <c r="D343" s="47" t="s">
        <v>469</v>
      </c>
      <c r="E343" s="48">
        <v>46106</v>
      </c>
      <c r="F343" s="49">
        <v>1448</v>
      </c>
      <c r="G343" s="45" t="s">
        <v>54</v>
      </c>
      <c r="H343" s="50">
        <v>2530</v>
      </c>
      <c r="I343" s="49">
        <f>Injeksi[[#This Row],[qtySaldoAwalSem1]]*Injeksi[[#This Row],[hargaSatuan]]</f>
        <v>3663440</v>
      </c>
      <c r="J343" s="50">
        <v>0</v>
      </c>
      <c r="K343" s="51">
        <f>Injeksi[[#This Row],[qtyTerima2025]]*Injeksi[[#This Row],[hargaSatuan]]</f>
        <v>0</v>
      </c>
      <c r="L343" s="50">
        <v>140</v>
      </c>
      <c r="M343" s="51">
        <f>Injeksi[[#This Row],[qtyDist2025]]*Injeksi[[#This Row],[hargaSatuan]]</f>
        <v>202720</v>
      </c>
      <c r="N343" s="50">
        <v>2390</v>
      </c>
      <c r="O343" s="51">
        <f>Injeksi[[#This Row],[qtyEd2025]]*Injeksi[[#This Row],[hargaSatuan]]</f>
        <v>3460720</v>
      </c>
      <c r="P343" s="50">
        <v>0</v>
      </c>
      <c r="Q343" s="52">
        <f>Injeksi[[#This Row],[qtySaldoAkhir2025]]*Injeksi[[#This Row],[hargaSatuan]]</f>
        <v>0</v>
      </c>
      <c r="S343" s="32">
        <f t="shared" si="10"/>
        <v>0</v>
      </c>
      <c r="T343" s="32">
        <f t="shared" si="11"/>
        <v>0</v>
      </c>
    </row>
    <row r="344" spans="1:59" ht="14.4" x14ac:dyDescent="0.3">
      <c r="A344" s="44">
        <v>51</v>
      </c>
      <c r="B344" s="45" t="s">
        <v>468</v>
      </c>
      <c r="C344" s="46" t="s">
        <v>413</v>
      </c>
      <c r="D344" s="47" t="s">
        <v>470</v>
      </c>
      <c r="E344" s="48">
        <v>46106</v>
      </c>
      <c r="F344" s="49">
        <v>1461</v>
      </c>
      <c r="G344" s="45" t="s">
        <v>40</v>
      </c>
      <c r="H344" s="50">
        <v>1900</v>
      </c>
      <c r="I344" s="49">
        <f>Injeksi[[#This Row],[qtySaldoAwalSem1]]*Injeksi[[#This Row],[hargaSatuan]]</f>
        <v>2775900</v>
      </c>
      <c r="J344" s="50">
        <v>0</v>
      </c>
      <c r="K344" s="51">
        <f>Injeksi[[#This Row],[qtyTerima2025]]*Injeksi[[#This Row],[hargaSatuan]]</f>
        <v>0</v>
      </c>
      <c r="L344" s="50">
        <v>0</v>
      </c>
      <c r="M344" s="51">
        <f>Injeksi[[#This Row],[qtyDist2025]]*Injeksi[[#This Row],[hargaSatuan]]</f>
        <v>0</v>
      </c>
      <c r="N344" s="50">
        <v>1900</v>
      </c>
      <c r="O344" s="51">
        <f>Injeksi[[#This Row],[qtyEd2025]]*Injeksi[[#This Row],[hargaSatuan]]</f>
        <v>2775900</v>
      </c>
      <c r="P344" s="50">
        <v>0</v>
      </c>
      <c r="Q344" s="52">
        <f>Injeksi[[#This Row],[qtySaldoAkhir2025]]*Injeksi[[#This Row],[hargaSatuan]]</f>
        <v>0</v>
      </c>
      <c r="S344" s="32">
        <f t="shared" si="10"/>
        <v>0</v>
      </c>
      <c r="T344" s="32">
        <f t="shared" si="11"/>
        <v>0</v>
      </c>
      <c r="W344" s="74"/>
    </row>
    <row r="345" spans="1:59" ht="14.4" x14ac:dyDescent="0.3">
      <c r="A345" s="44">
        <v>52</v>
      </c>
      <c r="B345" s="45" t="s">
        <v>468</v>
      </c>
      <c r="C345" s="46" t="s">
        <v>413</v>
      </c>
      <c r="D345" s="47" t="s">
        <v>471</v>
      </c>
      <c r="E345" s="68">
        <v>46631</v>
      </c>
      <c r="F345" s="49">
        <v>3294</v>
      </c>
      <c r="G345" s="45" t="s">
        <v>40</v>
      </c>
      <c r="H345" s="50">
        <v>0</v>
      </c>
      <c r="I345" s="49">
        <f>Injeksi[[#This Row],[qtySaldoAwalSem1]]*Injeksi[[#This Row],[hargaSatuan]]</f>
        <v>0</v>
      </c>
      <c r="J345" s="75">
        <v>900</v>
      </c>
      <c r="K345" s="51">
        <f>Injeksi[[#This Row],[qtyTerima2025]]*Injeksi[[#This Row],[hargaSatuan]]</f>
        <v>2964600</v>
      </c>
      <c r="L345" s="50">
        <v>610</v>
      </c>
      <c r="M345" s="51">
        <f>Injeksi[[#This Row],[qtyDist2025]]*Injeksi[[#This Row],[hargaSatuan]]</f>
        <v>2009340</v>
      </c>
      <c r="N345" s="50">
        <v>0</v>
      </c>
      <c r="O345" s="51">
        <f>Injeksi[[#This Row],[qtyEd2025]]*Injeksi[[#This Row],[hargaSatuan]]</f>
        <v>0</v>
      </c>
      <c r="P345" s="50">
        <v>290</v>
      </c>
      <c r="Q345" s="52">
        <f>Injeksi[[#This Row],[qtySaldoAkhir2025]]*Injeksi[[#This Row],[hargaSatuan]]</f>
        <v>955260</v>
      </c>
      <c r="S345" s="32">
        <f t="shared" si="10"/>
        <v>955260</v>
      </c>
      <c r="T345" s="32">
        <f t="shared" si="11"/>
        <v>0</v>
      </c>
      <c r="W345" s="74"/>
    </row>
    <row r="346" spans="1:59" ht="14.4" x14ac:dyDescent="0.3">
      <c r="A346" s="44">
        <v>53</v>
      </c>
      <c r="B346" s="45" t="s">
        <v>472</v>
      </c>
      <c r="C346" s="46" t="s">
        <v>413</v>
      </c>
      <c r="D346" s="47" t="s">
        <v>473</v>
      </c>
      <c r="E346" s="68">
        <v>46539</v>
      </c>
      <c r="F346" s="49">
        <v>3330</v>
      </c>
      <c r="G346" s="45" t="s">
        <v>18</v>
      </c>
      <c r="H346" s="50">
        <v>0</v>
      </c>
      <c r="I346" s="49">
        <f>Injeksi[[#This Row],[qtySaldoAwalSem1]]*Injeksi[[#This Row],[hargaSatuan]]</f>
        <v>0</v>
      </c>
      <c r="J346" s="50">
        <v>1000</v>
      </c>
      <c r="K346" s="51">
        <f>Injeksi[[#This Row],[qtyTerima2025]]*Injeksi[[#This Row],[hargaSatuan]]</f>
        <v>3330000</v>
      </c>
      <c r="L346" s="50">
        <v>90</v>
      </c>
      <c r="M346" s="51">
        <f>Injeksi[[#This Row],[qtyDist2025]]*Injeksi[[#This Row],[hargaSatuan]]</f>
        <v>299700</v>
      </c>
      <c r="N346" s="50">
        <v>0</v>
      </c>
      <c r="O346" s="51">
        <f>Injeksi[[#This Row],[qtyEd2025]]*Injeksi[[#This Row],[hargaSatuan]]</f>
        <v>0</v>
      </c>
      <c r="P346" s="50">
        <v>910</v>
      </c>
      <c r="Q346" s="52">
        <f>Injeksi[[#This Row],[qtySaldoAkhir2025]]*Injeksi[[#This Row],[hargaSatuan]]</f>
        <v>3030300</v>
      </c>
      <c r="S346" s="32">
        <f t="shared" si="10"/>
        <v>3030300</v>
      </c>
      <c r="T346" s="32">
        <f t="shared" si="11"/>
        <v>0</v>
      </c>
      <c r="W346" s="74"/>
    </row>
    <row r="347" spans="1:59" ht="14.4" x14ac:dyDescent="0.3">
      <c r="A347" s="44">
        <v>54</v>
      </c>
      <c r="B347" s="45" t="s">
        <v>474</v>
      </c>
      <c r="C347" s="46" t="s">
        <v>413</v>
      </c>
      <c r="D347" s="47" t="s">
        <v>475</v>
      </c>
      <c r="E347" s="48">
        <v>46293</v>
      </c>
      <c r="F347" s="49">
        <v>1530</v>
      </c>
      <c r="G347" s="45" t="s">
        <v>43</v>
      </c>
      <c r="H347" s="50">
        <v>3395</v>
      </c>
      <c r="I347" s="49">
        <f>Injeksi[[#This Row],[qtySaldoAwalSem1]]*Injeksi[[#This Row],[hargaSatuan]]</f>
        <v>5194350</v>
      </c>
      <c r="J347" s="50">
        <v>0</v>
      </c>
      <c r="K347" s="51">
        <f>Injeksi[[#This Row],[qtyTerima2025]]*Injeksi[[#This Row],[hargaSatuan]]</f>
        <v>0</v>
      </c>
      <c r="L347" s="50">
        <v>3395</v>
      </c>
      <c r="M347" s="51">
        <f>Injeksi[[#This Row],[qtyDist2025]]*Injeksi[[#This Row],[hargaSatuan]]</f>
        <v>5194350</v>
      </c>
      <c r="N347" s="50">
        <v>0</v>
      </c>
      <c r="O347" s="51">
        <f>Injeksi[[#This Row],[qtyEd2025]]*Injeksi[[#This Row],[hargaSatuan]]</f>
        <v>0</v>
      </c>
      <c r="P347" s="50">
        <v>0</v>
      </c>
      <c r="Q347" s="52">
        <f>Injeksi[[#This Row],[qtySaldoAkhir2025]]*Injeksi[[#This Row],[hargaSatuan]]</f>
        <v>0</v>
      </c>
      <c r="S347" s="32">
        <f t="shared" si="10"/>
        <v>0</v>
      </c>
      <c r="T347" s="32">
        <f t="shared" si="11"/>
        <v>0</v>
      </c>
    </row>
    <row r="348" spans="1:59" ht="14.4" x14ac:dyDescent="0.3">
      <c r="A348" s="76">
        <v>66</v>
      </c>
      <c r="B348" s="77" t="s">
        <v>476</v>
      </c>
      <c r="C348" s="78" t="s">
        <v>408</v>
      </c>
      <c r="D348" s="79" t="s">
        <v>477</v>
      </c>
      <c r="E348" s="80">
        <v>46198</v>
      </c>
      <c r="F348" s="81">
        <v>115831</v>
      </c>
      <c r="G348" s="77" t="s">
        <v>40</v>
      </c>
      <c r="H348" s="82">
        <v>0</v>
      </c>
      <c r="I348" s="49">
        <f>Injeksi[[#This Row],[qtySaldoAwalSem1]]*Injeksi[[#This Row],[hargaSatuan]]</f>
        <v>0</v>
      </c>
      <c r="J348" s="82">
        <v>60</v>
      </c>
      <c r="K348" s="51">
        <f>Injeksi[[#This Row],[qtyTerima2025]]*Injeksi[[#This Row],[hargaSatuan]]</f>
        <v>6949860</v>
      </c>
      <c r="L348" s="82">
        <v>60</v>
      </c>
      <c r="M348" s="51">
        <f>Injeksi[[#This Row],[qtyDist2025]]*Injeksi[[#This Row],[hargaSatuan]]</f>
        <v>6949860</v>
      </c>
      <c r="N348" s="82">
        <v>0</v>
      </c>
      <c r="O348" s="51">
        <f>Injeksi[[#This Row],[qtyEd2025]]*Injeksi[[#This Row],[hargaSatuan]]</f>
        <v>0</v>
      </c>
      <c r="P348" s="82">
        <v>0</v>
      </c>
      <c r="Q348" s="52">
        <f>Injeksi[[#This Row],[qtySaldoAkhir2025]]*Injeksi[[#This Row],[hargaSatuan]]</f>
        <v>0</v>
      </c>
      <c r="R348" s="74"/>
      <c r="S348" s="32">
        <f t="shared" si="10"/>
        <v>0</v>
      </c>
      <c r="T348" s="32">
        <f t="shared" si="11"/>
        <v>0</v>
      </c>
      <c r="U348" s="74"/>
      <c r="V348" s="74"/>
      <c r="X348" s="74"/>
      <c r="Y348" s="74"/>
      <c r="Z348" s="74"/>
      <c r="AA348" s="74"/>
      <c r="AB348" s="74"/>
      <c r="AC348" s="74"/>
      <c r="AD348" s="74"/>
      <c r="AE348" s="74"/>
      <c r="AF348" s="74"/>
      <c r="AG348" s="74"/>
      <c r="AH348" s="74"/>
      <c r="AI348" s="74"/>
      <c r="AJ348" s="74"/>
      <c r="AK348" s="74"/>
      <c r="AL348" s="74"/>
      <c r="AM348" s="74"/>
      <c r="AN348" s="74"/>
      <c r="AO348" s="74"/>
      <c r="AP348" s="74"/>
      <c r="AQ348" s="74"/>
      <c r="AR348" s="74"/>
      <c r="AS348" s="74"/>
      <c r="AT348" s="74"/>
      <c r="AU348" s="74"/>
      <c r="AV348" s="74"/>
      <c r="AW348" s="74"/>
      <c r="AX348" s="74"/>
      <c r="AY348" s="74"/>
      <c r="AZ348" s="74"/>
      <c r="BA348" s="74"/>
      <c r="BB348" s="74"/>
      <c r="BC348" s="74"/>
      <c r="BD348" s="74"/>
      <c r="BE348" s="74"/>
      <c r="BF348" s="74"/>
      <c r="BG348" s="74"/>
    </row>
    <row r="349" spans="1:59" ht="14.4" x14ac:dyDescent="0.3">
      <c r="A349" s="76">
        <v>67</v>
      </c>
      <c r="B349" s="77" t="s">
        <v>476</v>
      </c>
      <c r="C349" s="78" t="s">
        <v>408</v>
      </c>
      <c r="D349" s="79" t="s">
        <v>478</v>
      </c>
      <c r="E349" s="68">
        <v>45901</v>
      </c>
      <c r="F349" s="81">
        <v>119837</v>
      </c>
      <c r="G349" s="77" t="s">
        <v>40</v>
      </c>
      <c r="H349" s="82">
        <v>0</v>
      </c>
      <c r="I349" s="49">
        <f>Injeksi[[#This Row],[qtySaldoAwalSem1]]*Injeksi[[#This Row],[hargaSatuan]]</f>
        <v>0</v>
      </c>
      <c r="J349" s="82">
        <v>60</v>
      </c>
      <c r="K349" s="51">
        <f>Injeksi[[#This Row],[qtyTerima2025]]*Injeksi[[#This Row],[hargaSatuan]]</f>
        <v>7190220</v>
      </c>
      <c r="L349" s="82">
        <v>51</v>
      </c>
      <c r="M349" s="51">
        <f>Injeksi[[#This Row],[qtyDist2025]]*Injeksi[[#This Row],[hargaSatuan]]</f>
        <v>6111687</v>
      </c>
      <c r="N349" s="82">
        <v>9</v>
      </c>
      <c r="O349" s="51">
        <f>Injeksi[[#This Row],[qtyEd2025]]*Injeksi[[#This Row],[hargaSatuan]]</f>
        <v>1078533</v>
      </c>
      <c r="P349" s="82">
        <v>0</v>
      </c>
      <c r="Q349" s="52">
        <f>Injeksi[[#This Row],[qtySaldoAkhir2025]]*Injeksi[[#This Row],[hargaSatuan]]</f>
        <v>0</v>
      </c>
      <c r="R349" s="74"/>
      <c r="S349" s="32">
        <f t="shared" si="10"/>
        <v>0</v>
      </c>
      <c r="T349" s="32">
        <f t="shared" si="11"/>
        <v>0</v>
      </c>
      <c r="U349" s="74"/>
      <c r="V349" s="74"/>
      <c r="X349" s="74"/>
      <c r="Y349" s="74"/>
      <c r="Z349" s="74"/>
      <c r="AA349" s="74"/>
      <c r="AB349" s="74"/>
      <c r="AC349" s="74"/>
      <c r="AD349" s="74"/>
      <c r="AE349" s="74"/>
      <c r="AF349" s="74"/>
      <c r="AG349" s="74"/>
      <c r="AH349" s="74"/>
      <c r="AI349" s="74"/>
      <c r="AJ349" s="74"/>
      <c r="AK349" s="74"/>
      <c r="AL349" s="74"/>
      <c r="AM349" s="74"/>
      <c r="AN349" s="74"/>
      <c r="AO349" s="74"/>
      <c r="AP349" s="74"/>
      <c r="AQ349" s="74"/>
      <c r="AR349" s="74"/>
      <c r="AS349" s="74"/>
      <c r="AT349" s="74"/>
      <c r="AU349" s="74"/>
      <c r="AV349" s="74"/>
      <c r="AW349" s="74"/>
      <c r="AX349" s="74"/>
      <c r="AY349" s="74"/>
      <c r="AZ349" s="74"/>
      <c r="BA349" s="74"/>
      <c r="BB349" s="74"/>
      <c r="BC349" s="74"/>
      <c r="BD349" s="74"/>
      <c r="BE349" s="74"/>
      <c r="BF349" s="74"/>
      <c r="BG349" s="74"/>
    </row>
    <row r="350" spans="1:59" ht="14.4" x14ac:dyDescent="0.3">
      <c r="A350" s="76">
        <v>68</v>
      </c>
      <c r="B350" s="77" t="s">
        <v>476</v>
      </c>
      <c r="C350" s="78" t="s">
        <v>408</v>
      </c>
      <c r="D350" s="79" t="s">
        <v>479</v>
      </c>
      <c r="E350" s="80">
        <v>46229</v>
      </c>
      <c r="F350" s="81">
        <v>115831</v>
      </c>
      <c r="G350" s="77" t="s">
        <v>40</v>
      </c>
      <c r="H350" s="82">
        <v>0</v>
      </c>
      <c r="I350" s="49">
        <f>Injeksi[[#This Row],[qtySaldoAwalSem1]]*Injeksi[[#This Row],[hargaSatuan]]</f>
        <v>0</v>
      </c>
      <c r="J350" s="82">
        <v>80</v>
      </c>
      <c r="K350" s="51">
        <f>Injeksi[[#This Row],[qtyTerima2025]]*Injeksi[[#This Row],[hargaSatuan]]</f>
        <v>9266480</v>
      </c>
      <c r="L350" s="82">
        <v>65</v>
      </c>
      <c r="M350" s="51">
        <f>Injeksi[[#This Row],[qtyDist2025]]*Injeksi[[#This Row],[hargaSatuan]]</f>
        <v>7529015</v>
      </c>
      <c r="N350" s="82">
        <v>0</v>
      </c>
      <c r="O350" s="51">
        <f>Injeksi[[#This Row],[qtyEd2025]]*Injeksi[[#This Row],[hargaSatuan]]</f>
        <v>0</v>
      </c>
      <c r="P350" s="82">
        <v>15</v>
      </c>
      <c r="Q350" s="52">
        <f>Injeksi[[#This Row],[qtySaldoAkhir2025]]*Injeksi[[#This Row],[hargaSatuan]]</f>
        <v>1737465</v>
      </c>
      <c r="R350" s="74"/>
      <c r="S350" s="32">
        <f t="shared" si="10"/>
        <v>1737465</v>
      </c>
      <c r="T350" s="32">
        <f t="shared" si="11"/>
        <v>0</v>
      </c>
      <c r="U350" s="74"/>
      <c r="V350" s="74"/>
      <c r="X350" s="74"/>
      <c r="Y350" s="74"/>
      <c r="Z350" s="74"/>
      <c r="AA350" s="74"/>
      <c r="AB350" s="74"/>
      <c r="AC350" s="74"/>
      <c r="AD350" s="74"/>
      <c r="AE350" s="74"/>
      <c r="AF350" s="74"/>
      <c r="AG350" s="74"/>
      <c r="AH350" s="74"/>
      <c r="AI350" s="74"/>
      <c r="AJ350" s="74"/>
      <c r="AK350" s="74"/>
      <c r="AL350" s="74"/>
      <c r="AM350" s="74"/>
      <c r="AN350" s="74"/>
      <c r="AO350" s="74"/>
      <c r="AP350" s="74"/>
      <c r="AQ350" s="74"/>
      <c r="AR350" s="74"/>
      <c r="AS350" s="74"/>
      <c r="AT350" s="74"/>
      <c r="AU350" s="74"/>
      <c r="AV350" s="74"/>
      <c r="AW350" s="74"/>
      <c r="AX350" s="74"/>
      <c r="AY350" s="74"/>
      <c r="AZ350" s="74"/>
      <c r="BA350" s="74"/>
      <c r="BB350" s="74"/>
      <c r="BC350" s="74"/>
      <c r="BD350" s="74"/>
      <c r="BE350" s="74"/>
      <c r="BF350" s="74"/>
      <c r="BG350" s="74"/>
    </row>
    <row r="351" spans="1:59" ht="14.4" x14ac:dyDescent="0.3">
      <c r="A351" s="44">
        <v>55</v>
      </c>
      <c r="B351" s="45" t="s">
        <v>480</v>
      </c>
      <c r="C351" s="46" t="s">
        <v>408</v>
      </c>
      <c r="D351" s="47" t="s">
        <v>481</v>
      </c>
      <c r="E351" s="48">
        <v>46235</v>
      </c>
      <c r="F351" s="49">
        <v>2400</v>
      </c>
      <c r="G351" s="45" t="s">
        <v>54</v>
      </c>
      <c r="H351" s="50">
        <v>5060</v>
      </c>
      <c r="I351" s="49">
        <f>Injeksi[[#This Row],[qtySaldoAwalSem1]]*Injeksi[[#This Row],[hargaSatuan]]</f>
        <v>12144000</v>
      </c>
      <c r="J351" s="50">
        <v>0</v>
      </c>
      <c r="K351" s="51">
        <f>Injeksi[[#This Row],[qtyTerima2025]]*Injeksi[[#This Row],[hargaSatuan]]</f>
        <v>0</v>
      </c>
      <c r="L351" s="50">
        <v>5060</v>
      </c>
      <c r="M351" s="51">
        <f>Injeksi[[#This Row],[qtyDist2025]]*Injeksi[[#This Row],[hargaSatuan]]</f>
        <v>12144000</v>
      </c>
      <c r="N351" s="50">
        <v>0</v>
      </c>
      <c r="O351" s="51">
        <f>Injeksi[[#This Row],[qtyEd2025]]*Injeksi[[#This Row],[hargaSatuan]]</f>
        <v>0</v>
      </c>
      <c r="P351" s="50">
        <v>0</v>
      </c>
      <c r="Q351" s="52">
        <f>Injeksi[[#This Row],[qtySaldoAkhir2025]]*Injeksi[[#This Row],[hargaSatuan]]</f>
        <v>0</v>
      </c>
      <c r="S351" s="32">
        <f t="shared" si="10"/>
        <v>0</v>
      </c>
      <c r="T351" s="32">
        <f t="shared" si="11"/>
        <v>0</v>
      </c>
    </row>
    <row r="352" spans="1:59" ht="14.4" x14ac:dyDescent="0.3">
      <c r="A352" s="44">
        <v>56</v>
      </c>
      <c r="B352" s="45" t="s">
        <v>480</v>
      </c>
      <c r="C352" s="46" t="s">
        <v>408</v>
      </c>
      <c r="D352" s="47" t="s">
        <v>482</v>
      </c>
      <c r="E352" s="48">
        <v>46291</v>
      </c>
      <c r="F352" s="49">
        <v>2400</v>
      </c>
      <c r="G352" s="45" t="s">
        <v>54</v>
      </c>
      <c r="H352" s="50">
        <v>2440</v>
      </c>
      <c r="I352" s="49">
        <f>Injeksi[[#This Row],[qtySaldoAwalSem1]]*Injeksi[[#This Row],[hargaSatuan]]</f>
        <v>5856000</v>
      </c>
      <c r="J352" s="50">
        <v>0</v>
      </c>
      <c r="K352" s="51">
        <f>Injeksi[[#This Row],[qtyTerima2025]]*Injeksi[[#This Row],[hargaSatuan]]</f>
        <v>0</v>
      </c>
      <c r="L352" s="50">
        <v>2440</v>
      </c>
      <c r="M352" s="51">
        <f>Injeksi[[#This Row],[qtyDist2025]]*Injeksi[[#This Row],[hargaSatuan]]</f>
        <v>5856000</v>
      </c>
      <c r="N352" s="50">
        <v>0</v>
      </c>
      <c r="O352" s="51">
        <f>Injeksi[[#This Row],[qtyEd2025]]*Injeksi[[#This Row],[hargaSatuan]]</f>
        <v>0</v>
      </c>
      <c r="P352" s="50">
        <v>0</v>
      </c>
      <c r="Q352" s="52">
        <f>Injeksi[[#This Row],[qtySaldoAkhir2025]]*Injeksi[[#This Row],[hargaSatuan]]</f>
        <v>0</v>
      </c>
      <c r="S352" s="32">
        <f t="shared" si="10"/>
        <v>0</v>
      </c>
      <c r="T352" s="32">
        <f t="shared" si="11"/>
        <v>0</v>
      </c>
    </row>
    <row r="353" spans="1:20" ht="14.4" x14ac:dyDescent="0.3">
      <c r="A353" s="44">
        <v>57</v>
      </c>
      <c r="B353" s="45" t="s">
        <v>480</v>
      </c>
      <c r="C353" s="46" t="s">
        <v>408</v>
      </c>
      <c r="D353" s="47" t="s">
        <v>483</v>
      </c>
      <c r="E353" s="48">
        <v>46291</v>
      </c>
      <c r="F353" s="49">
        <v>2400</v>
      </c>
      <c r="G353" s="45" t="s">
        <v>54</v>
      </c>
      <c r="H353" s="50">
        <v>600</v>
      </c>
      <c r="I353" s="49">
        <f>Injeksi[[#This Row],[qtySaldoAwalSem1]]*Injeksi[[#This Row],[hargaSatuan]]</f>
        <v>1440000</v>
      </c>
      <c r="J353" s="50">
        <v>0</v>
      </c>
      <c r="K353" s="51">
        <f>Injeksi[[#This Row],[qtyTerima2025]]*Injeksi[[#This Row],[hargaSatuan]]</f>
        <v>0</v>
      </c>
      <c r="L353" s="50">
        <v>600</v>
      </c>
      <c r="M353" s="51">
        <f>Injeksi[[#This Row],[qtyDist2025]]*Injeksi[[#This Row],[hargaSatuan]]</f>
        <v>1440000</v>
      </c>
      <c r="N353" s="50">
        <v>0</v>
      </c>
      <c r="O353" s="51">
        <f>Injeksi[[#This Row],[qtyEd2025]]*Injeksi[[#This Row],[hargaSatuan]]</f>
        <v>0</v>
      </c>
      <c r="P353" s="50">
        <v>0</v>
      </c>
      <c r="Q353" s="52">
        <f>Injeksi[[#This Row],[qtySaldoAkhir2025]]*Injeksi[[#This Row],[hargaSatuan]]</f>
        <v>0</v>
      </c>
      <c r="S353" s="32">
        <f t="shared" si="10"/>
        <v>0</v>
      </c>
      <c r="T353" s="32">
        <f t="shared" si="11"/>
        <v>0</v>
      </c>
    </row>
    <row r="354" spans="1:20" ht="14.4" x14ac:dyDescent="0.3">
      <c r="A354" s="44">
        <v>58</v>
      </c>
      <c r="B354" s="45" t="s">
        <v>480</v>
      </c>
      <c r="C354" s="46" t="s">
        <v>408</v>
      </c>
      <c r="D354" s="47" t="s">
        <v>484</v>
      </c>
      <c r="E354" s="48">
        <v>46200</v>
      </c>
      <c r="F354" s="49">
        <v>1332</v>
      </c>
      <c r="G354" s="45" t="s">
        <v>18</v>
      </c>
      <c r="H354" s="50">
        <v>0</v>
      </c>
      <c r="I354" s="49">
        <f>Injeksi[[#This Row],[qtySaldoAwalSem1]]*Injeksi[[#This Row],[hargaSatuan]]</f>
        <v>0</v>
      </c>
      <c r="J354" s="50">
        <v>7500</v>
      </c>
      <c r="K354" s="51">
        <f>Injeksi[[#This Row],[qtyTerima2025]]*Injeksi[[#This Row],[hargaSatuan]]</f>
        <v>9990000</v>
      </c>
      <c r="L354" s="50">
        <v>3365</v>
      </c>
      <c r="M354" s="51">
        <f>Injeksi[[#This Row],[qtyDist2025]]*Injeksi[[#This Row],[hargaSatuan]]</f>
        <v>4482180</v>
      </c>
      <c r="N354" s="50">
        <v>0</v>
      </c>
      <c r="O354" s="51">
        <f>Injeksi[[#This Row],[qtyEd2025]]*Injeksi[[#This Row],[hargaSatuan]]</f>
        <v>0</v>
      </c>
      <c r="P354" s="50">
        <v>4135</v>
      </c>
      <c r="Q354" s="52">
        <f>Injeksi[[#This Row],[qtySaldoAkhir2025]]*Injeksi[[#This Row],[hargaSatuan]]</f>
        <v>5507820</v>
      </c>
      <c r="S354" s="32">
        <f t="shared" si="10"/>
        <v>5507820</v>
      </c>
      <c r="T354" s="32">
        <f t="shared" si="11"/>
        <v>0</v>
      </c>
    </row>
    <row r="355" spans="1:20" ht="14.4" x14ac:dyDescent="0.3">
      <c r="A355" s="44">
        <v>59</v>
      </c>
      <c r="B355" s="45" t="s">
        <v>480</v>
      </c>
      <c r="C355" s="46" t="s">
        <v>408</v>
      </c>
      <c r="D355" s="47" t="s">
        <v>485</v>
      </c>
      <c r="E355" s="48">
        <v>46080</v>
      </c>
      <c r="F355" s="49">
        <v>1332</v>
      </c>
      <c r="G355" s="45" t="s">
        <v>18</v>
      </c>
      <c r="H355" s="50">
        <v>0</v>
      </c>
      <c r="I355" s="49">
        <f>Injeksi[[#This Row],[qtySaldoAwalSem1]]*Injeksi[[#This Row],[hargaSatuan]]</f>
        <v>0</v>
      </c>
      <c r="J355" s="50">
        <v>2000</v>
      </c>
      <c r="K355" s="51">
        <f>Injeksi[[#This Row],[qtyTerima2025]]*Injeksi[[#This Row],[hargaSatuan]]</f>
        <v>2664000</v>
      </c>
      <c r="L355" s="50">
        <v>2000</v>
      </c>
      <c r="M355" s="51">
        <f>Injeksi[[#This Row],[qtyDist2025]]*Injeksi[[#This Row],[hargaSatuan]]</f>
        <v>2664000</v>
      </c>
      <c r="N355" s="50">
        <v>0</v>
      </c>
      <c r="O355" s="51">
        <f>Injeksi[[#This Row],[qtyEd2025]]*Injeksi[[#This Row],[hargaSatuan]]</f>
        <v>0</v>
      </c>
      <c r="P355" s="50">
        <v>0</v>
      </c>
      <c r="Q355" s="52">
        <f>Injeksi[[#This Row],[qtySaldoAkhir2025]]*Injeksi[[#This Row],[hargaSatuan]]</f>
        <v>0</v>
      </c>
      <c r="S355" s="32">
        <f t="shared" si="10"/>
        <v>0</v>
      </c>
      <c r="T355" s="32">
        <f t="shared" si="11"/>
        <v>0</v>
      </c>
    </row>
    <row r="356" spans="1:20" ht="14.4" x14ac:dyDescent="0.3">
      <c r="A356" s="44">
        <v>70</v>
      </c>
      <c r="B356" s="45" t="s">
        <v>486</v>
      </c>
      <c r="C356" s="46" t="s">
        <v>413</v>
      </c>
      <c r="D356" s="47" t="s">
        <v>487</v>
      </c>
      <c r="E356" s="48">
        <v>46508</v>
      </c>
      <c r="F356" s="49">
        <v>2699.52</v>
      </c>
      <c r="G356" s="45" t="s">
        <v>18</v>
      </c>
      <c r="H356" s="50">
        <v>0</v>
      </c>
      <c r="I356" s="49">
        <f>Injeksi[[#This Row],[qtySaldoAwalSem1]]*Injeksi[[#This Row],[hargaSatuan]]</f>
        <v>0</v>
      </c>
      <c r="J356" s="50">
        <v>3800</v>
      </c>
      <c r="K356" s="51">
        <f>Injeksi[[#This Row],[qtyTerima2025]]*Injeksi[[#This Row],[hargaSatuan]]</f>
        <v>10258176</v>
      </c>
      <c r="L356" s="50">
        <v>0</v>
      </c>
      <c r="M356" s="51">
        <f>Injeksi[[#This Row],[qtyDist2025]]*Injeksi[[#This Row],[hargaSatuan]]</f>
        <v>0</v>
      </c>
      <c r="N356" s="50">
        <v>0</v>
      </c>
      <c r="O356" s="51">
        <f>Injeksi[[#This Row],[qtyEd2025]]*Injeksi[[#This Row],[hargaSatuan]]</f>
        <v>0</v>
      </c>
      <c r="P356" s="50">
        <v>3800</v>
      </c>
      <c r="Q356" s="52">
        <f>Injeksi[[#This Row],[qtySaldoAkhir2025]]*Injeksi[[#This Row],[hargaSatuan]]</f>
        <v>10258176</v>
      </c>
      <c r="S356" s="32">
        <f t="shared" si="10"/>
        <v>10258176</v>
      </c>
      <c r="T356" s="32">
        <f t="shared" si="11"/>
        <v>0</v>
      </c>
    </row>
    <row r="357" spans="1:20" ht="14.4" x14ac:dyDescent="0.3">
      <c r="A357" s="44">
        <v>71</v>
      </c>
      <c r="B357" s="45" t="s">
        <v>486</v>
      </c>
      <c r="C357" s="46" t="s">
        <v>413</v>
      </c>
      <c r="D357" s="47" t="s">
        <v>488</v>
      </c>
      <c r="E357" s="48">
        <v>46508</v>
      </c>
      <c r="F357" s="49">
        <v>2699.52</v>
      </c>
      <c r="G357" s="45" t="s">
        <v>18</v>
      </c>
      <c r="H357" s="50">
        <v>0</v>
      </c>
      <c r="I357" s="49">
        <f>Injeksi[[#This Row],[qtySaldoAwalSem1]]*Injeksi[[#This Row],[hargaSatuan]]</f>
        <v>0</v>
      </c>
      <c r="J357" s="50">
        <v>4900</v>
      </c>
      <c r="K357" s="51">
        <f>Injeksi[[#This Row],[qtyTerima2025]]*Injeksi[[#This Row],[hargaSatuan]]</f>
        <v>13227648</v>
      </c>
      <c r="L357" s="50">
        <v>825</v>
      </c>
      <c r="M357" s="51">
        <f>Injeksi[[#This Row],[qtyDist2025]]*Injeksi[[#This Row],[hargaSatuan]]</f>
        <v>2227104</v>
      </c>
      <c r="N357" s="50">
        <v>0</v>
      </c>
      <c r="O357" s="51">
        <f>Injeksi[[#This Row],[qtyEd2025]]*Injeksi[[#This Row],[hargaSatuan]]</f>
        <v>0</v>
      </c>
      <c r="P357" s="50">
        <v>4075</v>
      </c>
      <c r="Q357" s="52">
        <f>Injeksi[[#This Row],[qtySaldoAkhir2025]]*Injeksi[[#This Row],[hargaSatuan]]</f>
        <v>11000544</v>
      </c>
      <c r="S357" s="32">
        <f t="shared" si="10"/>
        <v>11000544</v>
      </c>
      <c r="T357" s="32">
        <f t="shared" si="11"/>
        <v>0</v>
      </c>
    </row>
    <row r="358" spans="1:20" ht="14.4" x14ac:dyDescent="0.3">
      <c r="A358" s="44">
        <v>60</v>
      </c>
      <c r="B358" s="45" t="s">
        <v>489</v>
      </c>
      <c r="C358" s="46" t="s">
        <v>408</v>
      </c>
      <c r="D358" s="47" t="s">
        <v>490</v>
      </c>
      <c r="E358" s="48">
        <v>46199</v>
      </c>
      <c r="F358" s="49">
        <v>6171</v>
      </c>
      <c r="G358" s="45" t="s">
        <v>54</v>
      </c>
      <c r="H358" s="50">
        <v>630</v>
      </c>
      <c r="I358" s="49">
        <f>Injeksi[[#This Row],[qtySaldoAwalSem1]]*Injeksi[[#This Row],[hargaSatuan]]</f>
        <v>3887730</v>
      </c>
      <c r="J358" s="50">
        <v>0</v>
      </c>
      <c r="K358" s="51">
        <f>Injeksi[[#This Row],[qtyTerima2025]]*Injeksi[[#This Row],[hargaSatuan]]</f>
        <v>0</v>
      </c>
      <c r="L358" s="50">
        <v>630</v>
      </c>
      <c r="M358" s="51">
        <f>Injeksi[[#This Row],[qtyDist2025]]*Injeksi[[#This Row],[hargaSatuan]]</f>
        <v>3887730</v>
      </c>
      <c r="N358" s="50">
        <v>0</v>
      </c>
      <c r="O358" s="51">
        <f>Injeksi[[#This Row],[qtyEd2025]]*Injeksi[[#This Row],[hargaSatuan]]</f>
        <v>0</v>
      </c>
      <c r="P358" s="50">
        <v>0</v>
      </c>
      <c r="Q358" s="52">
        <f>Injeksi[[#This Row],[qtySaldoAkhir2025]]*Injeksi[[#This Row],[hargaSatuan]]</f>
        <v>0</v>
      </c>
      <c r="S358" s="32">
        <f t="shared" si="10"/>
        <v>0</v>
      </c>
      <c r="T358" s="32">
        <f t="shared" si="11"/>
        <v>0</v>
      </c>
    </row>
    <row r="359" spans="1:20" ht="14.4" x14ac:dyDescent="0.3">
      <c r="A359" s="44">
        <v>61</v>
      </c>
      <c r="B359" s="45" t="s">
        <v>489</v>
      </c>
      <c r="C359" s="46" t="s">
        <v>408</v>
      </c>
      <c r="D359" s="47" t="s">
        <v>491</v>
      </c>
      <c r="E359" s="48">
        <v>46296</v>
      </c>
      <c r="F359" s="49">
        <v>6105</v>
      </c>
      <c r="G359" s="45" t="s">
        <v>18</v>
      </c>
      <c r="H359" s="50">
        <v>0</v>
      </c>
      <c r="I359" s="49">
        <f>Injeksi[[#This Row],[qtySaldoAwalSem1]]*Injeksi[[#This Row],[hargaSatuan]]</f>
        <v>0</v>
      </c>
      <c r="J359" s="50">
        <v>1000</v>
      </c>
      <c r="K359" s="51">
        <f>Injeksi[[#This Row],[qtyTerima2025]]*Injeksi[[#This Row],[hargaSatuan]]</f>
        <v>6105000</v>
      </c>
      <c r="L359" s="50">
        <v>382</v>
      </c>
      <c r="M359" s="51">
        <f>Injeksi[[#This Row],[qtyDist2025]]*Injeksi[[#This Row],[hargaSatuan]]</f>
        <v>2332110</v>
      </c>
      <c r="N359" s="50">
        <v>0</v>
      </c>
      <c r="O359" s="51">
        <f>Injeksi[[#This Row],[qtyEd2025]]*Injeksi[[#This Row],[hargaSatuan]]</f>
        <v>0</v>
      </c>
      <c r="P359" s="50">
        <v>618</v>
      </c>
      <c r="Q359" s="52">
        <f>Injeksi[[#This Row],[qtySaldoAkhir2025]]*Injeksi[[#This Row],[hargaSatuan]]</f>
        <v>3772890</v>
      </c>
      <c r="S359" s="32">
        <f t="shared" si="10"/>
        <v>3772890</v>
      </c>
      <c r="T359" s="32">
        <f t="shared" si="11"/>
        <v>0</v>
      </c>
    </row>
    <row r="360" spans="1:20" ht="14.4" x14ac:dyDescent="0.3">
      <c r="A360" s="44">
        <v>62</v>
      </c>
      <c r="B360" s="45" t="s">
        <v>492</v>
      </c>
      <c r="C360" s="46" t="s">
        <v>408</v>
      </c>
      <c r="D360" s="47" t="s">
        <v>493</v>
      </c>
      <c r="E360" s="48">
        <v>46108</v>
      </c>
      <c r="F360" s="49">
        <v>6270</v>
      </c>
      <c r="G360" s="45" t="s">
        <v>54</v>
      </c>
      <c r="H360" s="50">
        <v>650</v>
      </c>
      <c r="I360" s="49">
        <f>Injeksi[[#This Row],[qtySaldoAwalSem1]]*Injeksi[[#This Row],[hargaSatuan]]</f>
        <v>4075500</v>
      </c>
      <c r="J360" s="50">
        <v>0</v>
      </c>
      <c r="K360" s="51">
        <f>Injeksi[[#This Row],[qtyTerima2025]]*Injeksi[[#This Row],[hargaSatuan]]</f>
        <v>0</v>
      </c>
      <c r="L360" s="50">
        <v>650</v>
      </c>
      <c r="M360" s="51">
        <f>Injeksi[[#This Row],[qtyDist2025]]*Injeksi[[#This Row],[hargaSatuan]]</f>
        <v>4075500</v>
      </c>
      <c r="N360" s="50">
        <v>0</v>
      </c>
      <c r="O360" s="51">
        <f>Injeksi[[#This Row],[qtyEd2025]]*Injeksi[[#This Row],[hargaSatuan]]</f>
        <v>0</v>
      </c>
      <c r="P360" s="50">
        <v>0</v>
      </c>
      <c r="Q360" s="52">
        <f>Injeksi[[#This Row],[qtySaldoAkhir2025]]*Injeksi[[#This Row],[hargaSatuan]]</f>
        <v>0</v>
      </c>
      <c r="S360" s="32">
        <f t="shared" si="10"/>
        <v>0</v>
      </c>
      <c r="T360" s="32">
        <f t="shared" si="11"/>
        <v>0</v>
      </c>
    </row>
    <row r="361" spans="1:20" ht="14.4" x14ac:dyDescent="0.3">
      <c r="A361" s="44">
        <v>63</v>
      </c>
      <c r="B361" s="45" t="s">
        <v>492</v>
      </c>
      <c r="C361" s="46" t="s">
        <v>408</v>
      </c>
      <c r="D361" s="47" t="s">
        <v>494</v>
      </c>
      <c r="E361" s="48">
        <v>46600</v>
      </c>
      <c r="F361" s="49">
        <v>6000</v>
      </c>
      <c r="G361" s="45" t="s">
        <v>18</v>
      </c>
      <c r="H361" s="50">
        <v>0</v>
      </c>
      <c r="I361" s="49">
        <f>Injeksi[[#This Row],[qtySaldoAwalSem1]]*Injeksi[[#This Row],[hargaSatuan]]</f>
        <v>0</v>
      </c>
      <c r="J361" s="50">
        <v>1100</v>
      </c>
      <c r="K361" s="51">
        <f>Injeksi[[#This Row],[qtyTerima2025]]*Injeksi[[#This Row],[hargaSatuan]]</f>
        <v>6600000</v>
      </c>
      <c r="L361" s="50">
        <v>810</v>
      </c>
      <c r="M361" s="51">
        <f>Injeksi[[#This Row],[qtyDist2025]]*Injeksi[[#This Row],[hargaSatuan]]</f>
        <v>4860000</v>
      </c>
      <c r="N361" s="50">
        <v>0</v>
      </c>
      <c r="O361" s="51">
        <f>Injeksi[[#This Row],[qtyEd2025]]*Injeksi[[#This Row],[hargaSatuan]]</f>
        <v>0</v>
      </c>
      <c r="P361" s="50">
        <v>290</v>
      </c>
      <c r="Q361" s="52">
        <f>Injeksi[[#This Row],[qtySaldoAkhir2025]]*Injeksi[[#This Row],[hargaSatuan]]</f>
        <v>1740000</v>
      </c>
      <c r="S361" s="32">
        <f t="shared" si="10"/>
        <v>1740000</v>
      </c>
      <c r="T361" s="32">
        <f t="shared" si="11"/>
        <v>0</v>
      </c>
    </row>
    <row r="362" spans="1:20" ht="14.4" x14ac:dyDescent="0.3">
      <c r="A362" s="44">
        <v>64</v>
      </c>
      <c r="B362" s="45" t="s">
        <v>492</v>
      </c>
      <c r="C362" s="46" t="s">
        <v>408</v>
      </c>
      <c r="D362" s="47" t="s">
        <v>495</v>
      </c>
      <c r="E362" s="48">
        <v>46051</v>
      </c>
      <c r="F362" s="49">
        <v>8700.18</v>
      </c>
      <c r="G362" s="45" t="s">
        <v>18</v>
      </c>
      <c r="H362" s="50">
        <v>0</v>
      </c>
      <c r="I362" s="49">
        <f>Injeksi[[#This Row],[qtySaldoAwalSem1]]*Injeksi[[#This Row],[hargaSatuan]]</f>
        <v>0</v>
      </c>
      <c r="J362" s="50">
        <v>3500</v>
      </c>
      <c r="K362" s="51">
        <f>Injeksi[[#This Row],[qtyTerima2025]]*Injeksi[[#This Row],[hargaSatuan]]</f>
        <v>30450630</v>
      </c>
      <c r="L362" s="50">
        <v>0</v>
      </c>
      <c r="M362" s="51">
        <f>Injeksi[[#This Row],[qtyDist2025]]*Injeksi[[#This Row],[hargaSatuan]]</f>
        <v>0</v>
      </c>
      <c r="N362" s="50">
        <v>0</v>
      </c>
      <c r="O362" s="51">
        <f>Injeksi[[#This Row],[qtyEd2025]]*Injeksi[[#This Row],[hargaSatuan]]</f>
        <v>0</v>
      </c>
      <c r="P362" s="50">
        <v>3500</v>
      </c>
      <c r="Q362" s="52">
        <f>Injeksi[[#This Row],[qtySaldoAkhir2025]]*Injeksi[[#This Row],[hargaSatuan]]</f>
        <v>30450630</v>
      </c>
      <c r="S362" s="32">
        <f t="shared" si="10"/>
        <v>30450630</v>
      </c>
      <c r="T362" s="32">
        <f t="shared" si="11"/>
        <v>0</v>
      </c>
    </row>
    <row r="363" spans="1:20" ht="14.4" x14ac:dyDescent="0.3">
      <c r="A363" s="44">
        <v>69</v>
      </c>
      <c r="B363" s="45" t="s">
        <v>496</v>
      </c>
      <c r="C363" s="46" t="s">
        <v>413</v>
      </c>
      <c r="D363" s="47">
        <v>540352</v>
      </c>
      <c r="E363" s="48">
        <v>46143</v>
      </c>
      <c r="F363" s="49">
        <v>5000</v>
      </c>
      <c r="G363" s="45" t="s">
        <v>17</v>
      </c>
      <c r="H363" s="50">
        <v>600</v>
      </c>
      <c r="I363" s="49">
        <f>Injeksi[[#This Row],[qtySaldoAwalSem1]]*Injeksi[[#This Row],[hargaSatuan]]</f>
        <v>3000000</v>
      </c>
      <c r="J363" s="50">
        <v>0</v>
      </c>
      <c r="K363" s="51">
        <f>Injeksi[[#This Row],[qtyTerima2025]]*Injeksi[[#This Row],[hargaSatuan]]</f>
        <v>0</v>
      </c>
      <c r="L363" s="50">
        <v>600</v>
      </c>
      <c r="M363" s="51">
        <f>Injeksi[[#This Row],[qtyDist2025]]*Injeksi[[#This Row],[hargaSatuan]]</f>
        <v>3000000</v>
      </c>
      <c r="N363" s="50">
        <v>0</v>
      </c>
      <c r="O363" s="51">
        <f>Injeksi[[#This Row],[qtyEd2025]]*Injeksi[[#This Row],[hargaSatuan]]</f>
        <v>0</v>
      </c>
      <c r="P363" s="50">
        <v>0</v>
      </c>
      <c r="Q363" s="52">
        <f>Injeksi[[#This Row],[qtySaldoAkhir2025]]*Injeksi[[#This Row],[hargaSatuan]]</f>
        <v>0</v>
      </c>
      <c r="S363" s="32">
        <f t="shared" si="10"/>
        <v>0</v>
      </c>
      <c r="T363" s="32">
        <f t="shared" si="11"/>
        <v>0</v>
      </c>
    </row>
    <row r="364" spans="1:20" ht="14.4" x14ac:dyDescent="0.3">
      <c r="A364" s="44">
        <v>72</v>
      </c>
      <c r="B364" s="45" t="s">
        <v>497</v>
      </c>
      <c r="C364" s="46" t="s">
        <v>413</v>
      </c>
      <c r="D364" s="47" t="s">
        <v>498</v>
      </c>
      <c r="E364" s="48">
        <v>46290</v>
      </c>
      <c r="F364" s="49">
        <v>3400</v>
      </c>
      <c r="G364" s="45" t="s">
        <v>54</v>
      </c>
      <c r="H364" s="50">
        <v>1085</v>
      </c>
      <c r="I364" s="49">
        <f>Injeksi[[#This Row],[qtySaldoAwalSem1]]*Injeksi[[#This Row],[hargaSatuan]]</f>
        <v>3689000</v>
      </c>
      <c r="J364" s="50">
        <v>0</v>
      </c>
      <c r="K364" s="51">
        <f>Injeksi[[#This Row],[qtyTerima2025]]*Injeksi[[#This Row],[hargaSatuan]]</f>
        <v>0</v>
      </c>
      <c r="L364" s="50">
        <v>620</v>
      </c>
      <c r="M364" s="51">
        <f>Injeksi[[#This Row],[qtyDist2025]]*Injeksi[[#This Row],[hargaSatuan]]</f>
        <v>2108000</v>
      </c>
      <c r="N364" s="50">
        <v>465</v>
      </c>
      <c r="O364" s="51">
        <f>Injeksi[[#This Row],[qtyEd2025]]*Injeksi[[#This Row],[hargaSatuan]]</f>
        <v>1581000</v>
      </c>
      <c r="P364" s="50">
        <v>0</v>
      </c>
      <c r="Q364" s="52">
        <f>Injeksi[[#This Row],[qtySaldoAkhir2025]]*Injeksi[[#This Row],[hargaSatuan]]</f>
        <v>0</v>
      </c>
      <c r="S364" s="32">
        <f t="shared" si="10"/>
        <v>0</v>
      </c>
      <c r="T364" s="32">
        <f t="shared" si="11"/>
        <v>0</v>
      </c>
    </row>
    <row r="365" spans="1:20" ht="14.4" x14ac:dyDescent="0.3">
      <c r="A365" s="44">
        <v>73</v>
      </c>
      <c r="B365" s="45" t="s">
        <v>497</v>
      </c>
      <c r="C365" s="46" t="s">
        <v>413</v>
      </c>
      <c r="D365" s="47" t="s">
        <v>499</v>
      </c>
      <c r="E365" s="48">
        <v>45931</v>
      </c>
      <c r="F365" s="49">
        <v>3400</v>
      </c>
      <c r="G365" s="45" t="s">
        <v>54</v>
      </c>
      <c r="H365" s="50">
        <v>1110</v>
      </c>
      <c r="I365" s="49">
        <f>Injeksi[[#This Row],[qtySaldoAwalSem1]]*Injeksi[[#This Row],[hargaSatuan]]</f>
        <v>3774000</v>
      </c>
      <c r="J365" s="50">
        <v>0</v>
      </c>
      <c r="K365" s="51">
        <f>Injeksi[[#This Row],[qtyTerima2025]]*Injeksi[[#This Row],[hargaSatuan]]</f>
        <v>0</v>
      </c>
      <c r="L365" s="50">
        <v>50</v>
      </c>
      <c r="M365" s="51">
        <f>Injeksi[[#This Row],[qtyDist2025]]*Injeksi[[#This Row],[hargaSatuan]]</f>
        <v>170000</v>
      </c>
      <c r="N365" s="50">
        <v>1060</v>
      </c>
      <c r="O365" s="51">
        <f>Injeksi[[#This Row],[qtyEd2025]]*Injeksi[[#This Row],[hargaSatuan]]</f>
        <v>3604000</v>
      </c>
      <c r="P365" s="50">
        <v>0</v>
      </c>
      <c r="Q365" s="52">
        <f>Injeksi[[#This Row],[qtySaldoAkhir2025]]*Injeksi[[#This Row],[hargaSatuan]]</f>
        <v>0</v>
      </c>
      <c r="S365" s="32">
        <f t="shared" si="10"/>
        <v>0</v>
      </c>
      <c r="T365" s="32">
        <f t="shared" si="11"/>
        <v>0</v>
      </c>
    </row>
    <row r="366" spans="1:20" ht="14.4" x14ac:dyDescent="0.3">
      <c r="A366" s="44">
        <v>74</v>
      </c>
      <c r="B366" s="45" t="s">
        <v>497</v>
      </c>
      <c r="C366" s="46" t="s">
        <v>413</v>
      </c>
      <c r="D366" s="47" t="s">
        <v>500</v>
      </c>
      <c r="E366" s="48">
        <v>46351</v>
      </c>
      <c r="F366" s="49">
        <v>3400</v>
      </c>
      <c r="G366" s="45" t="s">
        <v>54</v>
      </c>
      <c r="H366" s="50">
        <v>805</v>
      </c>
      <c r="I366" s="49">
        <f>Injeksi[[#This Row],[qtySaldoAwalSem1]]*Injeksi[[#This Row],[hargaSatuan]]</f>
        <v>2737000</v>
      </c>
      <c r="J366" s="50">
        <v>0</v>
      </c>
      <c r="K366" s="51">
        <f>Injeksi[[#This Row],[qtyTerima2025]]*Injeksi[[#This Row],[hargaSatuan]]</f>
        <v>0</v>
      </c>
      <c r="L366" s="50">
        <v>115</v>
      </c>
      <c r="M366" s="51">
        <f>Injeksi[[#This Row],[qtyDist2025]]*Injeksi[[#This Row],[hargaSatuan]]</f>
        <v>391000</v>
      </c>
      <c r="N366" s="50">
        <v>690</v>
      </c>
      <c r="O366" s="51">
        <f>Injeksi[[#This Row],[qtyEd2025]]*Injeksi[[#This Row],[hargaSatuan]]</f>
        <v>2346000</v>
      </c>
      <c r="P366" s="50">
        <v>0</v>
      </c>
      <c r="Q366" s="52">
        <f>Injeksi[[#This Row],[qtySaldoAkhir2025]]*Injeksi[[#This Row],[hargaSatuan]]</f>
        <v>0</v>
      </c>
      <c r="S366" s="32">
        <f t="shared" si="10"/>
        <v>0</v>
      </c>
      <c r="T366" s="32">
        <f t="shared" si="11"/>
        <v>0</v>
      </c>
    </row>
    <row r="367" spans="1:20" ht="14.4" x14ac:dyDescent="0.3">
      <c r="A367" s="44">
        <v>75</v>
      </c>
      <c r="B367" s="45" t="s">
        <v>497</v>
      </c>
      <c r="C367" s="46" t="s">
        <v>413</v>
      </c>
      <c r="D367" s="47">
        <v>86478004</v>
      </c>
      <c r="E367" s="48">
        <v>46049</v>
      </c>
      <c r="F367" s="49">
        <v>3335</v>
      </c>
      <c r="G367" s="45" t="s">
        <v>40</v>
      </c>
      <c r="H367" s="50">
        <v>0</v>
      </c>
      <c r="I367" s="49">
        <f>Injeksi[[#This Row],[qtySaldoAwalSem1]]*Injeksi[[#This Row],[hargaSatuan]]</f>
        <v>0</v>
      </c>
      <c r="J367" s="50">
        <v>480</v>
      </c>
      <c r="K367" s="51">
        <f>Injeksi[[#This Row],[qtyTerima2025]]*Injeksi[[#This Row],[hargaSatuan]]</f>
        <v>1600800</v>
      </c>
      <c r="L367" s="50">
        <v>312</v>
      </c>
      <c r="M367" s="51">
        <f>Injeksi[[#This Row],[qtyDist2025]]*Injeksi[[#This Row],[hargaSatuan]]</f>
        <v>1040520</v>
      </c>
      <c r="N367" s="50">
        <v>0</v>
      </c>
      <c r="O367" s="51">
        <f>Injeksi[[#This Row],[qtyEd2025]]*Injeksi[[#This Row],[hargaSatuan]]</f>
        <v>0</v>
      </c>
      <c r="P367" s="50">
        <v>168</v>
      </c>
      <c r="Q367" s="52">
        <f>Injeksi[[#This Row],[qtySaldoAkhir2025]]*Injeksi[[#This Row],[hargaSatuan]]</f>
        <v>560280</v>
      </c>
      <c r="S367" s="32">
        <f t="shared" si="10"/>
        <v>560280</v>
      </c>
      <c r="T367" s="32">
        <f t="shared" si="11"/>
        <v>0</v>
      </c>
    </row>
    <row r="368" spans="1:20" ht="14.4" x14ac:dyDescent="0.3">
      <c r="A368" s="59">
        <v>76</v>
      </c>
      <c r="B368" s="60" t="s">
        <v>501</v>
      </c>
      <c r="C368" s="61" t="s">
        <v>413</v>
      </c>
      <c r="D368" s="62" t="s">
        <v>502</v>
      </c>
      <c r="E368" s="63">
        <v>46137</v>
      </c>
      <c r="F368" s="64">
        <v>1515</v>
      </c>
      <c r="G368" s="60" t="s">
        <v>40</v>
      </c>
      <c r="H368" s="65">
        <v>2310</v>
      </c>
      <c r="I368" s="49">
        <f>Injeksi[[#This Row],[qtySaldoAwalSem1]]*Injeksi[[#This Row],[hargaSatuan]]</f>
        <v>3499650</v>
      </c>
      <c r="J368" s="65">
        <v>0</v>
      </c>
      <c r="K368" s="51">
        <f>Injeksi[[#This Row],[qtyTerima2025]]*Injeksi[[#This Row],[hargaSatuan]]</f>
        <v>0</v>
      </c>
      <c r="L368" s="65">
        <v>125</v>
      </c>
      <c r="M368" s="51">
        <f>Injeksi[[#This Row],[qtyDist2025]]*Injeksi[[#This Row],[hargaSatuan]]</f>
        <v>189375</v>
      </c>
      <c r="N368" s="65">
        <v>2185</v>
      </c>
      <c r="O368" s="51">
        <f>Injeksi[[#This Row],[qtyEd2025]]*Injeksi[[#This Row],[hargaSatuan]]</f>
        <v>3310275</v>
      </c>
      <c r="P368" s="65">
        <v>0</v>
      </c>
      <c r="Q368" s="52">
        <f>Injeksi[[#This Row],[qtySaldoAkhir2025]]*Injeksi[[#This Row],[hargaSatuan]]</f>
        <v>0</v>
      </c>
      <c r="S368" s="32">
        <f t="shared" si="10"/>
        <v>0</v>
      </c>
      <c r="T368" s="32">
        <f t="shared" si="11"/>
        <v>0</v>
      </c>
    </row>
    <row r="369" spans="1:20" ht="14.4" x14ac:dyDescent="0.3">
      <c r="A369" s="83"/>
      <c r="B369" s="27" t="s">
        <v>503</v>
      </c>
      <c r="C369" s="26"/>
      <c r="D369" s="28"/>
      <c r="E369" s="29"/>
      <c r="F369" s="30"/>
      <c r="G369" s="27"/>
      <c r="H369" s="31"/>
      <c r="I369" s="30">
        <f>SUBTOTAL(9,Narkotika[nomSaldoAwalSem1])</f>
        <v>4718105</v>
      </c>
      <c r="J369" s="30"/>
      <c r="K369" s="30">
        <f>SUBTOTAL(9,Narkotika[nomTerima2025])</f>
        <v>5500029</v>
      </c>
      <c r="L369" s="30"/>
      <c r="M369" s="30">
        <f>SUBTOTAL(9,Narkotika[nomDist2025])</f>
        <v>3671059</v>
      </c>
      <c r="N369" s="30"/>
      <c r="O369" s="30">
        <f>SUBTOTAL(9,Narkotika[nomEd2025])</f>
        <v>303675</v>
      </c>
      <c r="P369" s="30"/>
      <c r="Q369" s="30">
        <f>SUBTOTAL(9,Narkotika[nomSaldoAkhir2025])</f>
        <v>6243400</v>
      </c>
      <c r="S369" s="32">
        <f t="shared" si="10"/>
        <v>6243400</v>
      </c>
      <c r="T369" s="32">
        <f t="shared" si="11"/>
        <v>0</v>
      </c>
    </row>
    <row r="370" spans="1:20" ht="14.4" x14ac:dyDescent="0.3">
      <c r="A370" s="35" t="s">
        <v>19</v>
      </c>
      <c r="B370" s="36" t="s">
        <v>20</v>
      </c>
      <c r="C370" s="37" t="s">
        <v>21</v>
      </c>
      <c r="D370" s="38" t="s">
        <v>22</v>
      </c>
      <c r="E370" s="39" t="s">
        <v>23</v>
      </c>
      <c r="F370" s="40" t="s">
        <v>24</v>
      </c>
      <c r="G370" s="36" t="s">
        <v>25</v>
      </c>
      <c r="H370" s="41" t="s">
        <v>26</v>
      </c>
      <c r="I370" s="40" t="s">
        <v>27</v>
      </c>
      <c r="J370" s="41" t="s">
        <v>28</v>
      </c>
      <c r="K370" s="66" t="s">
        <v>29</v>
      </c>
      <c r="L370" s="41" t="s">
        <v>30</v>
      </c>
      <c r="M370" s="66" t="s">
        <v>31</v>
      </c>
      <c r="N370" s="41" t="s">
        <v>32</v>
      </c>
      <c r="O370" s="66" t="s">
        <v>33</v>
      </c>
      <c r="P370" s="41" t="s">
        <v>34</v>
      </c>
      <c r="Q370" s="67" t="s">
        <v>35</v>
      </c>
      <c r="S370" s="32">
        <f t="shared" si="10"/>
        <v>0</v>
      </c>
      <c r="T370" s="32">
        <f t="shared" si="11"/>
        <v>0</v>
      </c>
    </row>
    <row r="371" spans="1:20" ht="14.4" x14ac:dyDescent="0.3">
      <c r="A371" s="44">
        <v>1</v>
      </c>
      <c r="B371" s="45" t="s">
        <v>504</v>
      </c>
      <c r="C371" s="46" t="s">
        <v>52</v>
      </c>
      <c r="D371" s="47" t="s">
        <v>505</v>
      </c>
      <c r="E371" s="48">
        <v>46327</v>
      </c>
      <c r="F371" s="49">
        <v>216</v>
      </c>
      <c r="G371" s="45" t="s">
        <v>43</v>
      </c>
      <c r="H371" s="50">
        <v>150</v>
      </c>
      <c r="I371" s="49">
        <f>Narkotika[[#This Row],[qtySaldoAwalSem1]]*Narkotika[[#This Row],[hargaSatuan]]</f>
        <v>32400</v>
      </c>
      <c r="J371" s="50">
        <v>0</v>
      </c>
      <c r="K371" s="51">
        <f>Narkotika[[#This Row],[qtyTerima2025]]*Narkotika[[#This Row],[hargaSatuan]]</f>
        <v>0</v>
      </c>
      <c r="L371" s="50">
        <v>150</v>
      </c>
      <c r="M371" s="51">
        <f>Narkotika[[#This Row],[qtyDist2025]]*Narkotika[[#This Row],[hargaSatuan]]</f>
        <v>32400</v>
      </c>
      <c r="N371" s="50">
        <v>0</v>
      </c>
      <c r="O371" s="51">
        <f>Narkotika[[#This Row],[qtyEd2025]]*Narkotika[[#This Row],[hargaSatuan]]</f>
        <v>0</v>
      </c>
      <c r="P371" s="50">
        <v>0</v>
      </c>
      <c r="Q371" s="52">
        <f>Narkotika[[#This Row],[qtySaldoAkhir2025]]*Narkotika[[#This Row],[hargaSatuan]]</f>
        <v>0</v>
      </c>
      <c r="S371" s="32">
        <f t="shared" si="10"/>
        <v>0</v>
      </c>
      <c r="T371" s="32">
        <f t="shared" si="11"/>
        <v>0</v>
      </c>
    </row>
    <row r="372" spans="1:20" ht="14.4" x14ac:dyDescent="0.3">
      <c r="A372" s="44">
        <v>2</v>
      </c>
      <c r="B372" s="45" t="s">
        <v>504</v>
      </c>
      <c r="C372" s="46" t="s">
        <v>52</v>
      </c>
      <c r="D372" s="47" t="s">
        <v>506</v>
      </c>
      <c r="E372" s="48">
        <v>46295</v>
      </c>
      <c r="F372" s="49">
        <v>180</v>
      </c>
      <c r="G372" s="45" t="s">
        <v>40</v>
      </c>
      <c r="H372" s="50">
        <v>0</v>
      </c>
      <c r="I372" s="49">
        <f>Narkotika[[#This Row],[qtySaldoAwalSem1]]*Narkotika[[#This Row],[hargaSatuan]]</f>
        <v>0</v>
      </c>
      <c r="J372" s="50">
        <v>5900</v>
      </c>
      <c r="K372" s="51">
        <f>Narkotika[[#This Row],[qtyTerima2025]]*Narkotika[[#This Row],[hargaSatuan]]</f>
        <v>1062000</v>
      </c>
      <c r="L372" s="50">
        <v>3100</v>
      </c>
      <c r="M372" s="51">
        <f>Narkotika[[#This Row],[qtyDist2025]]*Narkotika[[#This Row],[hargaSatuan]]</f>
        <v>558000</v>
      </c>
      <c r="N372" s="50">
        <v>0</v>
      </c>
      <c r="O372" s="51">
        <f>Narkotika[[#This Row],[qtyEd2025]]*Narkotika[[#This Row],[hargaSatuan]]</f>
        <v>0</v>
      </c>
      <c r="P372" s="50">
        <v>2800</v>
      </c>
      <c r="Q372" s="52">
        <f>Narkotika[[#This Row],[qtySaldoAkhir2025]]*Narkotika[[#This Row],[hargaSatuan]]</f>
        <v>504000</v>
      </c>
      <c r="S372" s="32">
        <f t="shared" si="10"/>
        <v>504000</v>
      </c>
      <c r="T372" s="32">
        <f t="shared" si="11"/>
        <v>0</v>
      </c>
    </row>
    <row r="373" spans="1:20" ht="14.4" x14ac:dyDescent="0.3">
      <c r="A373" s="44">
        <v>3</v>
      </c>
      <c r="B373" s="45" t="s">
        <v>504</v>
      </c>
      <c r="C373" s="46" t="s">
        <v>52</v>
      </c>
      <c r="D373" s="47" t="s">
        <v>507</v>
      </c>
      <c r="E373" s="48">
        <v>46081</v>
      </c>
      <c r="F373" s="49">
        <v>108</v>
      </c>
      <c r="G373" s="45" t="s">
        <v>40</v>
      </c>
      <c r="H373" s="50">
        <v>0</v>
      </c>
      <c r="I373" s="49">
        <f>Narkotika[[#This Row],[qtySaldoAwalSem1]]*Narkotika[[#This Row],[hargaSatuan]]</f>
        <v>0</v>
      </c>
      <c r="J373" s="50">
        <v>100</v>
      </c>
      <c r="K373" s="51">
        <f>Narkotika[[#This Row],[qtyTerima2025]]*Narkotika[[#This Row],[hargaSatuan]]</f>
        <v>10800</v>
      </c>
      <c r="L373" s="50">
        <v>100</v>
      </c>
      <c r="M373" s="51">
        <f>Narkotika[[#This Row],[qtyDist2025]]*Narkotika[[#This Row],[hargaSatuan]]</f>
        <v>10800</v>
      </c>
      <c r="N373" s="50">
        <v>0</v>
      </c>
      <c r="O373" s="51">
        <f>Narkotika[[#This Row],[qtyEd2025]]*Narkotika[[#This Row],[hargaSatuan]]</f>
        <v>0</v>
      </c>
      <c r="P373" s="50">
        <v>0</v>
      </c>
      <c r="Q373" s="52">
        <f>Narkotika[[#This Row],[qtySaldoAkhir2025]]*Narkotika[[#This Row],[hargaSatuan]]</f>
        <v>0</v>
      </c>
      <c r="S373" s="32">
        <f t="shared" si="10"/>
        <v>0</v>
      </c>
      <c r="T373" s="32">
        <f t="shared" si="11"/>
        <v>0</v>
      </c>
    </row>
    <row r="374" spans="1:20" ht="14.4" x14ac:dyDescent="0.3">
      <c r="A374" s="44">
        <v>4</v>
      </c>
      <c r="B374" s="45" t="s">
        <v>508</v>
      </c>
      <c r="C374" s="46" t="s">
        <v>413</v>
      </c>
      <c r="D374" s="47" t="s">
        <v>509</v>
      </c>
      <c r="E374" s="48">
        <v>45748</v>
      </c>
      <c r="F374" s="49">
        <v>1545</v>
      </c>
      <c r="G374" s="45" t="s">
        <v>40</v>
      </c>
      <c r="H374" s="50">
        <v>104</v>
      </c>
      <c r="I374" s="49">
        <f>Narkotika[[#This Row],[qtySaldoAwalSem1]]*Narkotika[[#This Row],[hargaSatuan]]</f>
        <v>160680</v>
      </c>
      <c r="J374" s="50">
        <v>0</v>
      </c>
      <c r="K374" s="51">
        <f>Narkotika[[#This Row],[qtyTerima2025]]*Narkotika[[#This Row],[hargaSatuan]]</f>
        <v>0</v>
      </c>
      <c r="L374" s="50">
        <v>24</v>
      </c>
      <c r="M374" s="51">
        <f>Narkotika[[#This Row],[qtyDist2025]]*Narkotika[[#This Row],[hargaSatuan]]</f>
        <v>37080</v>
      </c>
      <c r="N374" s="50">
        <v>80</v>
      </c>
      <c r="O374" s="51">
        <f>Narkotika[[#This Row],[qtyEd2025]]*Narkotika[[#This Row],[hargaSatuan]]</f>
        <v>123600</v>
      </c>
      <c r="P374" s="50">
        <v>0</v>
      </c>
      <c r="Q374" s="52">
        <f>Narkotika[[#This Row],[qtySaldoAkhir2025]]*Narkotika[[#This Row],[hargaSatuan]]</f>
        <v>0</v>
      </c>
      <c r="S374" s="32">
        <f t="shared" si="10"/>
        <v>0</v>
      </c>
      <c r="T374" s="32">
        <f t="shared" si="11"/>
        <v>0</v>
      </c>
    </row>
    <row r="375" spans="1:20" ht="14.4" x14ac:dyDescent="0.3">
      <c r="A375" s="44">
        <v>5</v>
      </c>
      <c r="B375" s="45" t="s">
        <v>510</v>
      </c>
      <c r="C375" s="46" t="s">
        <v>426</v>
      </c>
      <c r="D375" s="47" t="s">
        <v>511</v>
      </c>
      <c r="E375" s="48">
        <v>46081</v>
      </c>
      <c r="F375" s="49">
        <v>1698.3</v>
      </c>
      <c r="G375" s="45" t="s">
        <v>40</v>
      </c>
      <c r="H375" s="50">
        <v>0</v>
      </c>
      <c r="I375" s="49">
        <f>Narkotika[[#This Row],[qtySaldoAwalSem1]]*Narkotika[[#This Row],[hargaSatuan]]</f>
        <v>0</v>
      </c>
      <c r="J375" s="50">
        <v>30</v>
      </c>
      <c r="K375" s="51">
        <f>Narkotika[[#This Row],[qtyTerima2025]]*Narkotika[[#This Row],[hargaSatuan]]</f>
        <v>50949</v>
      </c>
      <c r="L375" s="50">
        <v>30</v>
      </c>
      <c r="M375" s="51">
        <f>Narkotika[[#This Row],[qtyDist2025]]*Narkotika[[#This Row],[hargaSatuan]]</f>
        <v>50949</v>
      </c>
      <c r="N375" s="50">
        <v>0</v>
      </c>
      <c r="O375" s="51">
        <f>Narkotika[[#This Row],[qtyEd2025]]*Narkotika[[#This Row],[hargaSatuan]]</f>
        <v>0</v>
      </c>
      <c r="P375" s="50">
        <v>0</v>
      </c>
      <c r="Q375" s="52">
        <f>Narkotika[[#This Row],[qtySaldoAkhir2025]]*Narkotika[[#This Row],[hargaSatuan]]</f>
        <v>0</v>
      </c>
      <c r="S375" s="32">
        <f t="shared" si="10"/>
        <v>0</v>
      </c>
      <c r="T375" s="32">
        <f t="shared" si="11"/>
        <v>0</v>
      </c>
    </row>
    <row r="376" spans="1:20" ht="14.4" x14ac:dyDescent="0.3">
      <c r="A376" s="44">
        <v>6</v>
      </c>
      <c r="B376" s="45" t="s">
        <v>510</v>
      </c>
      <c r="C376" s="46" t="s">
        <v>426</v>
      </c>
      <c r="D376" s="47" t="s">
        <v>512</v>
      </c>
      <c r="E376" s="48">
        <v>46264</v>
      </c>
      <c r="F376" s="49">
        <v>1875.9</v>
      </c>
      <c r="G376" s="45" t="s">
        <v>40</v>
      </c>
      <c r="H376" s="50">
        <v>0</v>
      </c>
      <c r="I376" s="49">
        <f>Narkotika[[#This Row],[qtySaldoAwalSem1]]*Narkotika[[#This Row],[hargaSatuan]]</f>
        <v>0</v>
      </c>
      <c r="J376" s="50">
        <v>100</v>
      </c>
      <c r="K376" s="51">
        <f>Narkotika[[#This Row],[qtyTerima2025]]*Narkotika[[#This Row],[hargaSatuan]]</f>
        <v>187590</v>
      </c>
      <c r="L376" s="50">
        <v>100</v>
      </c>
      <c r="M376" s="51">
        <f>Narkotika[[#This Row],[qtyDist2025]]*Narkotika[[#This Row],[hargaSatuan]]</f>
        <v>187590</v>
      </c>
      <c r="N376" s="50">
        <v>0</v>
      </c>
      <c r="O376" s="51">
        <f>Narkotika[[#This Row],[qtyEd2025]]*Narkotika[[#This Row],[hargaSatuan]]</f>
        <v>0</v>
      </c>
      <c r="P376" s="50">
        <v>0</v>
      </c>
      <c r="Q376" s="52">
        <f>Narkotika[[#This Row],[qtySaldoAkhir2025]]*Narkotika[[#This Row],[hargaSatuan]]</f>
        <v>0</v>
      </c>
      <c r="S376" s="32">
        <f t="shared" si="10"/>
        <v>0</v>
      </c>
      <c r="T376" s="32">
        <f t="shared" si="11"/>
        <v>0</v>
      </c>
    </row>
    <row r="377" spans="1:20" ht="14.4" x14ac:dyDescent="0.3">
      <c r="A377" s="44">
        <v>7</v>
      </c>
      <c r="B377" s="45" t="s">
        <v>510</v>
      </c>
      <c r="C377" s="46" t="s">
        <v>426</v>
      </c>
      <c r="D377" s="47" t="s">
        <v>513</v>
      </c>
      <c r="E377" s="48">
        <v>46295</v>
      </c>
      <c r="F377" s="49">
        <v>1875.9</v>
      </c>
      <c r="G377" s="45" t="s">
        <v>40</v>
      </c>
      <c r="H377" s="50">
        <v>0</v>
      </c>
      <c r="I377" s="49">
        <f>Narkotika[[#This Row],[qtySaldoAwalSem1]]*Narkotika[[#This Row],[hargaSatuan]]</f>
        <v>0</v>
      </c>
      <c r="J377" s="50">
        <v>100</v>
      </c>
      <c r="K377" s="51">
        <f>Narkotika[[#This Row],[qtyTerima2025]]*Narkotika[[#This Row],[hargaSatuan]]</f>
        <v>187590</v>
      </c>
      <c r="L377" s="50">
        <v>100</v>
      </c>
      <c r="M377" s="51">
        <f>Narkotika[[#This Row],[qtyDist2025]]*Narkotika[[#This Row],[hargaSatuan]]</f>
        <v>187590</v>
      </c>
      <c r="N377" s="50">
        <v>0</v>
      </c>
      <c r="O377" s="51">
        <f>Narkotika[[#This Row],[qtyEd2025]]*Narkotika[[#This Row],[hargaSatuan]]</f>
        <v>0</v>
      </c>
      <c r="P377" s="50">
        <v>0</v>
      </c>
      <c r="Q377" s="52">
        <f>Narkotika[[#This Row],[qtySaldoAkhir2025]]*Narkotika[[#This Row],[hargaSatuan]]</f>
        <v>0</v>
      </c>
      <c r="S377" s="32">
        <f t="shared" si="10"/>
        <v>0</v>
      </c>
      <c r="T377" s="32">
        <f t="shared" si="11"/>
        <v>0</v>
      </c>
    </row>
    <row r="378" spans="1:20" ht="14.4" x14ac:dyDescent="0.3">
      <c r="A378" s="44">
        <v>8</v>
      </c>
      <c r="B378" s="45" t="s">
        <v>514</v>
      </c>
      <c r="C378" s="46" t="s">
        <v>52</v>
      </c>
      <c r="D378" s="47" t="s">
        <v>515</v>
      </c>
      <c r="E378" s="48">
        <v>46054</v>
      </c>
      <c r="F378" s="49">
        <v>291</v>
      </c>
      <c r="G378" s="45" t="s">
        <v>54</v>
      </c>
      <c r="H378" s="50">
        <v>4400</v>
      </c>
      <c r="I378" s="49">
        <f>Narkotika[[#This Row],[qtySaldoAwalSem1]]*Narkotika[[#This Row],[hargaSatuan]]</f>
        <v>1280400</v>
      </c>
      <c r="J378" s="50">
        <v>0</v>
      </c>
      <c r="K378" s="51">
        <f>Narkotika[[#This Row],[qtyTerima2025]]*Narkotika[[#This Row],[hargaSatuan]]</f>
        <v>0</v>
      </c>
      <c r="L378" s="50">
        <v>2400</v>
      </c>
      <c r="M378" s="51">
        <f>Narkotika[[#This Row],[qtyDist2025]]*Narkotika[[#This Row],[hargaSatuan]]</f>
        <v>698400</v>
      </c>
      <c r="N378" s="50">
        <v>0</v>
      </c>
      <c r="O378" s="51">
        <f>Narkotika[[#This Row],[qtyEd2025]]*Narkotika[[#This Row],[hargaSatuan]]</f>
        <v>0</v>
      </c>
      <c r="P378" s="50">
        <v>2000</v>
      </c>
      <c r="Q378" s="52">
        <f>Narkotika[[#This Row],[qtySaldoAkhir2025]]*Narkotika[[#This Row],[hargaSatuan]]</f>
        <v>582000</v>
      </c>
      <c r="S378" s="32">
        <f t="shared" si="10"/>
        <v>582000</v>
      </c>
      <c r="T378" s="32">
        <f t="shared" si="11"/>
        <v>0</v>
      </c>
    </row>
    <row r="379" spans="1:20" ht="14.4" x14ac:dyDescent="0.3">
      <c r="A379" s="44">
        <v>9</v>
      </c>
      <c r="B379" s="45" t="s">
        <v>514</v>
      </c>
      <c r="C379" s="46" t="s">
        <v>52</v>
      </c>
      <c r="D379" s="47" t="s">
        <v>516</v>
      </c>
      <c r="E379" s="48">
        <v>46113</v>
      </c>
      <c r="F379" s="49">
        <v>218</v>
      </c>
      <c r="G379" s="45" t="s">
        <v>54</v>
      </c>
      <c r="H379" s="50">
        <v>10000</v>
      </c>
      <c r="I379" s="49">
        <f>Narkotika[[#This Row],[qtySaldoAwalSem1]]*Narkotika[[#This Row],[hargaSatuan]]</f>
        <v>2180000</v>
      </c>
      <c r="J379" s="50">
        <v>0</v>
      </c>
      <c r="K379" s="51">
        <f>Narkotika[[#This Row],[qtyTerima2025]]*Narkotika[[#This Row],[hargaSatuan]]</f>
        <v>0</v>
      </c>
      <c r="L379" s="50">
        <v>2300</v>
      </c>
      <c r="M379" s="51">
        <f>Narkotika[[#This Row],[qtyDist2025]]*Narkotika[[#This Row],[hargaSatuan]]</f>
        <v>501400</v>
      </c>
      <c r="N379" s="50">
        <v>0</v>
      </c>
      <c r="O379" s="51">
        <f>Narkotika[[#This Row],[qtyEd2025]]*Narkotika[[#This Row],[hargaSatuan]]</f>
        <v>0</v>
      </c>
      <c r="P379" s="50">
        <v>7700</v>
      </c>
      <c r="Q379" s="52">
        <f>Narkotika[[#This Row],[qtySaldoAkhir2025]]*Narkotika[[#This Row],[hargaSatuan]]</f>
        <v>1678600</v>
      </c>
      <c r="S379" s="32">
        <f t="shared" si="10"/>
        <v>1678600</v>
      </c>
      <c r="T379" s="32">
        <f t="shared" si="11"/>
        <v>0</v>
      </c>
    </row>
    <row r="380" spans="1:20" ht="14.4" x14ac:dyDescent="0.3">
      <c r="A380" s="44">
        <v>10</v>
      </c>
      <c r="B380" s="45" t="s">
        <v>517</v>
      </c>
      <c r="C380" s="46" t="s">
        <v>413</v>
      </c>
      <c r="D380" s="47" t="s">
        <v>518</v>
      </c>
      <c r="E380" s="48">
        <v>45992</v>
      </c>
      <c r="F380" s="49">
        <v>1715</v>
      </c>
      <c r="G380" s="45" t="s">
        <v>40</v>
      </c>
      <c r="H380" s="50">
        <v>75</v>
      </c>
      <c r="I380" s="49">
        <f>Narkotika[[#This Row],[qtySaldoAwalSem1]]*Narkotika[[#This Row],[hargaSatuan]]</f>
        <v>128625</v>
      </c>
      <c r="J380" s="50">
        <v>0</v>
      </c>
      <c r="K380" s="51">
        <f>Narkotika[[#This Row],[qtyTerima2025]]*Narkotika[[#This Row],[hargaSatuan]]</f>
        <v>0</v>
      </c>
      <c r="L380" s="50">
        <v>0</v>
      </c>
      <c r="M380" s="51">
        <f>Narkotika[[#This Row],[qtyDist2025]]*Narkotika[[#This Row],[hargaSatuan]]</f>
        <v>0</v>
      </c>
      <c r="N380" s="50">
        <v>75</v>
      </c>
      <c r="O380" s="51">
        <f>Narkotika[[#This Row],[qtyEd2025]]*Narkotika[[#This Row],[hargaSatuan]]</f>
        <v>128625</v>
      </c>
      <c r="P380" s="50">
        <v>0</v>
      </c>
      <c r="Q380" s="52">
        <f>Narkotika[[#This Row],[qtySaldoAkhir2025]]*Narkotika[[#This Row],[hargaSatuan]]</f>
        <v>0</v>
      </c>
      <c r="S380" s="32">
        <f t="shared" si="10"/>
        <v>0</v>
      </c>
      <c r="T380" s="32">
        <f t="shared" si="11"/>
        <v>0</v>
      </c>
    </row>
    <row r="381" spans="1:20" ht="14.4" x14ac:dyDescent="0.3">
      <c r="A381" s="44">
        <v>11</v>
      </c>
      <c r="B381" s="45" t="s">
        <v>517</v>
      </c>
      <c r="C381" s="46" t="s">
        <v>413</v>
      </c>
      <c r="D381" s="47" t="s">
        <v>519</v>
      </c>
      <c r="E381" s="48">
        <v>46660</v>
      </c>
      <c r="F381" s="49">
        <v>3885</v>
      </c>
      <c r="G381" s="45" t="s">
        <v>40</v>
      </c>
      <c r="H381" s="50">
        <v>0</v>
      </c>
      <c r="I381" s="49">
        <f>Narkotika[[#This Row],[qtySaldoAwalSem1]]*Narkotika[[#This Row],[hargaSatuan]]</f>
        <v>0</v>
      </c>
      <c r="J381" s="50">
        <v>90</v>
      </c>
      <c r="K381" s="51">
        <f>Narkotika[[#This Row],[qtyTerima2025]]*Narkotika[[#This Row],[hargaSatuan]]</f>
        <v>349650</v>
      </c>
      <c r="L381" s="50">
        <v>10</v>
      </c>
      <c r="M381" s="51">
        <f>Narkotika[[#This Row],[qtyDist2025]]*Narkotika[[#This Row],[hargaSatuan]]</f>
        <v>38850</v>
      </c>
      <c r="N381" s="50">
        <v>0</v>
      </c>
      <c r="O381" s="51">
        <f>Narkotika[[#This Row],[qtyEd2025]]*Narkotika[[#This Row],[hargaSatuan]]</f>
        <v>0</v>
      </c>
      <c r="P381" s="50">
        <v>80</v>
      </c>
      <c r="Q381" s="52">
        <f>Narkotika[[#This Row],[qtySaldoAkhir2025]]*Narkotika[[#This Row],[hargaSatuan]]</f>
        <v>310800</v>
      </c>
      <c r="S381" s="32">
        <f t="shared" si="10"/>
        <v>310800</v>
      </c>
      <c r="T381" s="32">
        <f t="shared" si="11"/>
        <v>0</v>
      </c>
    </row>
    <row r="382" spans="1:20" ht="14.4" x14ac:dyDescent="0.3">
      <c r="A382" s="44">
        <v>12</v>
      </c>
      <c r="B382" s="45" t="s">
        <v>517</v>
      </c>
      <c r="C382" s="46" t="s">
        <v>413</v>
      </c>
      <c r="D382" s="47" t="s">
        <v>518</v>
      </c>
      <c r="E382" s="48">
        <v>46022</v>
      </c>
      <c r="F382" s="49">
        <v>1715</v>
      </c>
      <c r="G382" s="45" t="s">
        <v>40</v>
      </c>
      <c r="H382" s="50">
        <v>0</v>
      </c>
      <c r="I382" s="49">
        <f>Narkotika[[#This Row],[qtySaldoAwalSem1]]*Narkotika[[#This Row],[hargaSatuan]]</f>
        <v>0</v>
      </c>
      <c r="J382" s="50">
        <v>30</v>
      </c>
      <c r="K382" s="51">
        <f>Narkotika[[#This Row],[qtyTerima2025]]*Narkotika[[#This Row],[hargaSatuan]]</f>
        <v>51450</v>
      </c>
      <c r="L382" s="50">
        <v>0</v>
      </c>
      <c r="M382" s="51">
        <f>Narkotika[[#This Row],[qtyDist2025]]*Narkotika[[#This Row],[hargaSatuan]]</f>
        <v>0</v>
      </c>
      <c r="N382" s="50">
        <v>30</v>
      </c>
      <c r="O382" s="51">
        <f>Narkotika[[#This Row],[qtyEd2025]]*Narkotika[[#This Row],[hargaSatuan]]</f>
        <v>51450</v>
      </c>
      <c r="P382" s="50">
        <v>0</v>
      </c>
      <c r="Q382" s="52">
        <f>Narkotika[[#This Row],[qtySaldoAkhir2025]]*Narkotika[[#This Row],[hargaSatuan]]</f>
        <v>0</v>
      </c>
      <c r="S382" s="32">
        <f t="shared" si="10"/>
        <v>0</v>
      </c>
      <c r="T382" s="32">
        <f t="shared" si="11"/>
        <v>0</v>
      </c>
    </row>
    <row r="383" spans="1:20" ht="14.4" x14ac:dyDescent="0.3">
      <c r="A383" s="44">
        <v>13</v>
      </c>
      <c r="B383" s="45" t="s">
        <v>520</v>
      </c>
      <c r="C383" s="46" t="s">
        <v>52</v>
      </c>
      <c r="D383" s="47" t="s">
        <v>521</v>
      </c>
      <c r="E383" s="48">
        <v>47062</v>
      </c>
      <c r="F383" s="49">
        <v>720</v>
      </c>
      <c r="G383" s="45" t="s">
        <v>18</v>
      </c>
      <c r="H383" s="50">
        <v>0</v>
      </c>
      <c r="I383" s="49">
        <f>Narkotika[[#This Row],[qtySaldoAwalSem1]]*Narkotika[[#This Row],[hargaSatuan]]</f>
        <v>0</v>
      </c>
      <c r="J383" s="50">
        <v>5000</v>
      </c>
      <c r="K383" s="51">
        <f>Narkotika[[#This Row],[qtyTerima2025]]*Narkotika[[#This Row],[hargaSatuan]]</f>
        <v>3600000</v>
      </c>
      <c r="L383" s="50">
        <v>600</v>
      </c>
      <c r="M383" s="51">
        <f>Narkotika[[#This Row],[qtyDist2025]]*Narkotika[[#This Row],[hargaSatuan]]</f>
        <v>432000</v>
      </c>
      <c r="N383" s="50">
        <v>0</v>
      </c>
      <c r="O383" s="51">
        <f>Narkotika[[#This Row],[qtyEd2025]]*Narkotika[[#This Row],[hargaSatuan]]</f>
        <v>0</v>
      </c>
      <c r="P383" s="50">
        <v>4400</v>
      </c>
      <c r="Q383" s="52">
        <f>Narkotika[[#This Row],[qtySaldoAkhir2025]]*Narkotika[[#This Row],[hargaSatuan]]</f>
        <v>3168000</v>
      </c>
      <c r="S383" s="32">
        <f t="shared" si="10"/>
        <v>3168000</v>
      </c>
      <c r="T383" s="32">
        <f t="shared" si="11"/>
        <v>0</v>
      </c>
    </row>
    <row r="384" spans="1:20" ht="14.4" x14ac:dyDescent="0.3">
      <c r="A384" s="59">
        <v>14</v>
      </c>
      <c r="B384" s="60" t="s">
        <v>520</v>
      </c>
      <c r="C384" s="61" t="s">
        <v>52</v>
      </c>
      <c r="D384" s="62" t="s">
        <v>522</v>
      </c>
      <c r="E384" s="63">
        <v>46600</v>
      </c>
      <c r="F384" s="64">
        <v>720</v>
      </c>
      <c r="G384" s="60" t="s">
        <v>43</v>
      </c>
      <c r="H384" s="65">
        <v>1300</v>
      </c>
      <c r="I384" s="49">
        <f>Narkotika[[#This Row],[qtySaldoAwalSem1]]*Narkotika[[#This Row],[hargaSatuan]]</f>
        <v>936000</v>
      </c>
      <c r="J384" s="65">
        <v>0</v>
      </c>
      <c r="K384" s="51">
        <f>Narkotika[[#This Row],[qtyTerima2025]]*Narkotika[[#This Row],[hargaSatuan]]</f>
        <v>0</v>
      </c>
      <c r="L384" s="65">
        <v>1300</v>
      </c>
      <c r="M384" s="51">
        <f>Narkotika[[#This Row],[qtyDist2025]]*Narkotika[[#This Row],[hargaSatuan]]</f>
        <v>936000</v>
      </c>
      <c r="N384" s="65">
        <v>0</v>
      </c>
      <c r="O384" s="51">
        <f>Narkotika[[#This Row],[qtyEd2025]]*Narkotika[[#This Row],[hargaSatuan]]</f>
        <v>0</v>
      </c>
      <c r="P384" s="65">
        <v>0</v>
      </c>
      <c r="Q384" s="52">
        <f>Narkotika[[#This Row],[qtySaldoAkhir2025]]*Narkotika[[#This Row],[hargaSatuan]]</f>
        <v>0</v>
      </c>
      <c r="S384" s="32">
        <f t="shared" si="10"/>
        <v>0</v>
      </c>
      <c r="T384" s="32">
        <f t="shared" si="11"/>
        <v>0</v>
      </c>
    </row>
    <row r="385" spans="1:20" ht="14.4" x14ac:dyDescent="0.3">
      <c r="A385" s="83"/>
      <c r="B385" s="27" t="s">
        <v>523</v>
      </c>
      <c r="C385" s="26"/>
      <c r="D385" s="28"/>
      <c r="E385" s="29"/>
      <c r="F385" s="31"/>
      <c r="G385" s="27"/>
      <c r="H385" s="31"/>
      <c r="I385" s="30">
        <f>SUBTOTAL(9,Salep[nomSaldoAwalSem1])</f>
        <v>161103255.5</v>
      </c>
      <c r="J385" s="30"/>
      <c r="K385" s="30">
        <f>SUBTOTAL(9,Salep[nomTerima2025])</f>
        <v>82051999.469999999</v>
      </c>
      <c r="L385" s="30"/>
      <c r="M385" s="30">
        <f>SUBTOTAL(9,Salep[nomDist2025])</f>
        <v>107023281.72</v>
      </c>
      <c r="N385" s="30"/>
      <c r="O385" s="30">
        <f>SUBTOTAL(9,Salep[nomEd2025])</f>
        <v>58764789</v>
      </c>
      <c r="P385" s="30"/>
      <c r="Q385" s="30">
        <f>SUBTOTAL(9,Salep[nomSaldoAkhir2025])</f>
        <v>77367184.25</v>
      </c>
      <c r="S385" s="32">
        <f t="shared" si="10"/>
        <v>77367184.25</v>
      </c>
      <c r="T385" s="32">
        <f t="shared" si="11"/>
        <v>0</v>
      </c>
    </row>
    <row r="386" spans="1:20" ht="14.4" x14ac:dyDescent="0.3">
      <c r="A386" s="35" t="s">
        <v>19</v>
      </c>
      <c r="B386" s="36" t="s">
        <v>20</v>
      </c>
      <c r="C386" s="37" t="s">
        <v>21</v>
      </c>
      <c r="D386" s="38" t="s">
        <v>22</v>
      </c>
      <c r="E386" s="39" t="s">
        <v>23</v>
      </c>
      <c r="F386" s="40" t="s">
        <v>24</v>
      </c>
      <c r="G386" s="36" t="s">
        <v>25</v>
      </c>
      <c r="H386" s="41" t="s">
        <v>26</v>
      </c>
      <c r="I386" s="40" t="s">
        <v>27</v>
      </c>
      <c r="J386" s="41" t="s">
        <v>28</v>
      </c>
      <c r="K386" s="66" t="s">
        <v>29</v>
      </c>
      <c r="L386" s="41" t="s">
        <v>30</v>
      </c>
      <c r="M386" s="66" t="s">
        <v>31</v>
      </c>
      <c r="N386" s="41" t="s">
        <v>32</v>
      </c>
      <c r="O386" s="66" t="s">
        <v>33</v>
      </c>
      <c r="P386" s="41" t="s">
        <v>34</v>
      </c>
      <c r="Q386" s="67" t="s">
        <v>35</v>
      </c>
      <c r="S386" s="32">
        <f t="shared" si="10"/>
        <v>0</v>
      </c>
      <c r="T386" s="32">
        <f t="shared" si="11"/>
        <v>0</v>
      </c>
    </row>
    <row r="387" spans="1:20" ht="14.4" x14ac:dyDescent="0.3">
      <c r="A387" s="44">
        <v>1</v>
      </c>
      <c r="B387" s="45" t="s">
        <v>524</v>
      </c>
      <c r="C387" s="46" t="s">
        <v>525</v>
      </c>
      <c r="D387" s="47" t="s">
        <v>526</v>
      </c>
      <c r="E387" s="48">
        <v>45992</v>
      </c>
      <c r="F387" s="49">
        <v>3900</v>
      </c>
      <c r="G387" s="45" t="s">
        <v>54</v>
      </c>
      <c r="H387" s="50">
        <v>210</v>
      </c>
      <c r="I387" s="49">
        <f>Salep[[#This Row],[qtySaldoAwalSem1]]*Salep[[#This Row],[hargaSatuan]]</f>
        <v>819000</v>
      </c>
      <c r="J387" s="50">
        <v>0</v>
      </c>
      <c r="K387" s="51">
        <f>Salep[[#This Row],[qtyTerima2025]]*Salep[[#This Row],[hargaSatuan]]</f>
        <v>0</v>
      </c>
      <c r="L387" s="50">
        <v>210</v>
      </c>
      <c r="M387" s="51">
        <f>Salep[[#This Row],[qtyDist2025]]*Salep[[#This Row],[hargaSatuan]]</f>
        <v>819000</v>
      </c>
      <c r="N387" s="50">
        <v>0</v>
      </c>
      <c r="O387" s="51">
        <f>Salep[[#This Row],[qtyEd2025]]*Salep[[#This Row],[hargaSatuan]]</f>
        <v>0</v>
      </c>
      <c r="P387" s="50">
        <v>0</v>
      </c>
      <c r="Q387" s="52">
        <f>Salep[[#This Row],[qtySaldoAkhir2025]]*Salep[[#This Row],[hargaSatuan]]</f>
        <v>0</v>
      </c>
      <c r="S387" s="32">
        <f t="shared" si="10"/>
        <v>0</v>
      </c>
      <c r="T387" s="32">
        <f t="shared" si="11"/>
        <v>0</v>
      </c>
    </row>
    <row r="388" spans="1:20" ht="14.4" x14ac:dyDescent="0.3">
      <c r="A388" s="44">
        <v>2</v>
      </c>
      <c r="B388" s="45" t="s">
        <v>524</v>
      </c>
      <c r="C388" s="46" t="s">
        <v>525</v>
      </c>
      <c r="D388" s="47" t="s">
        <v>527</v>
      </c>
      <c r="E388" s="48">
        <v>46661</v>
      </c>
      <c r="F388" s="49">
        <v>3900</v>
      </c>
      <c r="G388" s="45" t="s">
        <v>18</v>
      </c>
      <c r="H388" s="50">
        <v>0</v>
      </c>
      <c r="I388" s="49">
        <f>Salep[[#This Row],[qtySaldoAwalSem1]]*Salep[[#This Row],[hargaSatuan]]</f>
        <v>0</v>
      </c>
      <c r="J388" s="50">
        <v>1200</v>
      </c>
      <c r="K388" s="51">
        <f>Salep[[#This Row],[qtyTerima2025]]*Salep[[#This Row],[hargaSatuan]]</f>
        <v>4680000</v>
      </c>
      <c r="L388" s="50">
        <v>470</v>
      </c>
      <c r="M388" s="51">
        <f>Salep[[#This Row],[qtyDist2025]]*Salep[[#This Row],[hargaSatuan]]</f>
        <v>1833000</v>
      </c>
      <c r="N388" s="50">
        <v>0</v>
      </c>
      <c r="O388" s="51">
        <f>Salep[[#This Row],[qtyEd2025]]*Salep[[#This Row],[hargaSatuan]]</f>
        <v>0</v>
      </c>
      <c r="P388" s="50">
        <v>730</v>
      </c>
      <c r="Q388" s="52">
        <f>Salep[[#This Row],[qtySaldoAkhir2025]]*Salep[[#This Row],[hargaSatuan]]</f>
        <v>2847000</v>
      </c>
      <c r="S388" s="32">
        <f t="shared" si="10"/>
        <v>2847000</v>
      </c>
      <c r="T388" s="32">
        <f t="shared" si="11"/>
        <v>0</v>
      </c>
    </row>
    <row r="389" spans="1:20" ht="14.4" x14ac:dyDescent="0.3">
      <c r="A389" s="44">
        <v>3</v>
      </c>
      <c r="B389" s="45" t="s">
        <v>528</v>
      </c>
      <c r="C389" s="46" t="s">
        <v>529</v>
      </c>
      <c r="D389" s="47">
        <v>3548</v>
      </c>
      <c r="E389" s="48">
        <v>46600</v>
      </c>
      <c r="F389" s="49">
        <v>6550</v>
      </c>
      <c r="G389" s="45" t="s">
        <v>17</v>
      </c>
      <c r="H389" s="50">
        <v>460</v>
      </c>
      <c r="I389" s="49">
        <f>Salep[[#This Row],[qtySaldoAwalSem1]]*Salep[[#This Row],[hargaSatuan]]</f>
        <v>3013000</v>
      </c>
      <c r="J389" s="50">
        <v>0</v>
      </c>
      <c r="K389" s="51">
        <f>Salep[[#This Row],[qtyTerima2025]]*Salep[[#This Row],[hargaSatuan]]</f>
        <v>0</v>
      </c>
      <c r="L389" s="50">
        <v>460</v>
      </c>
      <c r="M389" s="51">
        <f>Salep[[#This Row],[qtyDist2025]]*Salep[[#This Row],[hargaSatuan]]</f>
        <v>3013000</v>
      </c>
      <c r="N389" s="50">
        <v>0</v>
      </c>
      <c r="O389" s="51">
        <f>Salep[[#This Row],[qtyEd2025]]*Salep[[#This Row],[hargaSatuan]]</f>
        <v>0</v>
      </c>
      <c r="P389" s="50">
        <v>0</v>
      </c>
      <c r="Q389" s="52">
        <f>Salep[[#This Row],[qtySaldoAkhir2025]]*Salep[[#This Row],[hargaSatuan]]</f>
        <v>0</v>
      </c>
      <c r="S389" s="32">
        <f t="shared" si="10"/>
        <v>0</v>
      </c>
      <c r="T389" s="32">
        <f t="shared" si="11"/>
        <v>0</v>
      </c>
    </row>
    <row r="390" spans="1:20" ht="14.4" x14ac:dyDescent="0.3">
      <c r="A390" s="44">
        <v>4</v>
      </c>
      <c r="B390" s="45" t="s">
        <v>530</v>
      </c>
      <c r="C390" s="46" t="s">
        <v>529</v>
      </c>
      <c r="D390" s="47" t="s">
        <v>531</v>
      </c>
      <c r="E390" s="48">
        <v>46600</v>
      </c>
      <c r="F390" s="49">
        <v>9000</v>
      </c>
      <c r="G390" s="45" t="s">
        <v>18</v>
      </c>
      <c r="H390" s="50">
        <v>0</v>
      </c>
      <c r="I390" s="49">
        <f>Salep[[#This Row],[qtySaldoAwalSem1]]*Salep[[#This Row],[hargaSatuan]]</f>
        <v>0</v>
      </c>
      <c r="J390" s="50">
        <v>1000</v>
      </c>
      <c r="K390" s="51">
        <f>Salep[[#This Row],[qtyTerima2025]]*Salep[[#This Row],[hargaSatuan]]</f>
        <v>9000000</v>
      </c>
      <c r="L390" s="50">
        <v>670</v>
      </c>
      <c r="M390" s="51">
        <f>Salep[[#This Row],[qtyDist2025]]*Salep[[#This Row],[hargaSatuan]]</f>
        <v>6030000</v>
      </c>
      <c r="N390" s="50">
        <v>0</v>
      </c>
      <c r="O390" s="51">
        <f>Salep[[#This Row],[qtyEd2025]]*Salep[[#This Row],[hargaSatuan]]</f>
        <v>0</v>
      </c>
      <c r="P390" s="50">
        <v>330</v>
      </c>
      <c r="Q390" s="52">
        <f>Salep[[#This Row],[qtySaldoAkhir2025]]*Salep[[#This Row],[hargaSatuan]]</f>
        <v>2970000</v>
      </c>
      <c r="S390" s="32">
        <f t="shared" si="10"/>
        <v>2970000</v>
      </c>
      <c r="T390" s="32">
        <f t="shared" si="11"/>
        <v>0</v>
      </c>
    </row>
    <row r="391" spans="1:20" ht="14.4" x14ac:dyDescent="0.3">
      <c r="A391" s="44">
        <v>5</v>
      </c>
      <c r="B391" s="45" t="s">
        <v>532</v>
      </c>
      <c r="C391" s="46" t="s">
        <v>533</v>
      </c>
      <c r="D391" s="47" t="s">
        <v>534</v>
      </c>
      <c r="E391" s="48">
        <v>47119</v>
      </c>
      <c r="F391" s="49">
        <v>6485</v>
      </c>
      <c r="G391" s="45" t="s">
        <v>54</v>
      </c>
      <c r="H391" s="50">
        <v>2696</v>
      </c>
      <c r="I391" s="49">
        <f>Salep[[#This Row],[qtySaldoAwalSem1]]*Salep[[#This Row],[hargaSatuan]]</f>
        <v>17483560</v>
      </c>
      <c r="J391" s="50">
        <v>0</v>
      </c>
      <c r="K391" s="51">
        <f>Salep[[#This Row],[qtyTerima2025]]*Salep[[#This Row],[hargaSatuan]]</f>
        <v>0</v>
      </c>
      <c r="L391" s="50">
        <v>1506</v>
      </c>
      <c r="M391" s="51">
        <f>Salep[[#This Row],[qtyDist2025]]*Salep[[#This Row],[hargaSatuan]]</f>
        <v>9766410</v>
      </c>
      <c r="N391" s="50">
        <v>0</v>
      </c>
      <c r="O391" s="51">
        <f>Salep[[#This Row],[qtyEd2025]]*Salep[[#This Row],[hargaSatuan]]</f>
        <v>0</v>
      </c>
      <c r="P391" s="50">
        <v>1190</v>
      </c>
      <c r="Q391" s="52">
        <f>Salep[[#This Row],[qtySaldoAkhir2025]]*Salep[[#This Row],[hargaSatuan]]</f>
        <v>7717150</v>
      </c>
      <c r="S391" s="32">
        <f t="shared" si="10"/>
        <v>7717150</v>
      </c>
      <c r="T391" s="32">
        <f t="shared" si="11"/>
        <v>0</v>
      </c>
    </row>
    <row r="392" spans="1:20" ht="14.4" x14ac:dyDescent="0.3">
      <c r="A392" s="44">
        <v>6</v>
      </c>
      <c r="B392" s="45" t="s">
        <v>535</v>
      </c>
      <c r="C392" s="46" t="s">
        <v>529</v>
      </c>
      <c r="D392" s="47" t="s">
        <v>536</v>
      </c>
      <c r="E392" s="48">
        <v>45962</v>
      </c>
      <c r="F392" s="49">
        <v>2020</v>
      </c>
      <c r="G392" s="45" t="s">
        <v>54</v>
      </c>
      <c r="H392" s="50">
        <v>2625</v>
      </c>
      <c r="I392" s="49">
        <f>Salep[[#This Row],[qtySaldoAwalSem1]]*Salep[[#This Row],[hargaSatuan]]</f>
        <v>5302500</v>
      </c>
      <c r="J392" s="50">
        <v>0</v>
      </c>
      <c r="K392" s="51">
        <f>Salep[[#This Row],[qtyTerima2025]]*Salep[[#This Row],[hargaSatuan]]</f>
        <v>0</v>
      </c>
      <c r="L392" s="50">
        <v>2625</v>
      </c>
      <c r="M392" s="51">
        <f>Salep[[#This Row],[qtyDist2025]]*Salep[[#This Row],[hargaSatuan]]</f>
        <v>5302500</v>
      </c>
      <c r="N392" s="50">
        <v>0</v>
      </c>
      <c r="O392" s="51">
        <f>Salep[[#This Row],[qtyEd2025]]*Salep[[#This Row],[hargaSatuan]]</f>
        <v>0</v>
      </c>
      <c r="P392" s="50">
        <v>0</v>
      </c>
      <c r="Q392" s="52">
        <f>Salep[[#This Row],[qtySaldoAkhir2025]]*Salep[[#This Row],[hargaSatuan]]</f>
        <v>0</v>
      </c>
      <c r="S392" s="32">
        <f t="shared" ref="S392:S455" si="12">IFERROR(I392+K392-(M392+O392),0)</f>
        <v>0</v>
      </c>
      <c r="T392" s="32">
        <f t="shared" ref="T392:T455" si="13">IFERROR(Q392-S392,0)</f>
        <v>0</v>
      </c>
    </row>
    <row r="393" spans="1:20" ht="14.4" x14ac:dyDescent="0.3">
      <c r="A393" s="44">
        <v>7</v>
      </c>
      <c r="B393" s="45" t="s">
        <v>537</v>
      </c>
      <c r="C393" s="46" t="s">
        <v>529</v>
      </c>
      <c r="D393" s="47" t="s">
        <v>538</v>
      </c>
      <c r="E393" s="48">
        <v>45870</v>
      </c>
      <c r="F393" s="49">
        <v>6997</v>
      </c>
      <c r="G393" s="45" t="s">
        <v>43</v>
      </c>
      <c r="H393" s="50">
        <v>3573</v>
      </c>
      <c r="I393" s="49">
        <f>Salep[[#This Row],[qtySaldoAwalSem1]]*Salep[[#This Row],[hargaSatuan]]</f>
        <v>25000281</v>
      </c>
      <c r="J393" s="50">
        <v>0</v>
      </c>
      <c r="K393" s="51">
        <f>Salep[[#This Row],[qtyTerima2025]]*Salep[[#This Row],[hargaSatuan]]</f>
        <v>0</v>
      </c>
      <c r="L393" s="50">
        <v>627</v>
      </c>
      <c r="M393" s="51">
        <f>Salep[[#This Row],[qtyDist2025]]*Salep[[#This Row],[hargaSatuan]]</f>
        <v>4387119</v>
      </c>
      <c r="N393" s="50">
        <v>2946</v>
      </c>
      <c r="O393" s="51">
        <f>Salep[[#This Row],[qtyEd2025]]*Salep[[#This Row],[hargaSatuan]]</f>
        <v>20613162</v>
      </c>
      <c r="P393" s="50">
        <v>0</v>
      </c>
      <c r="Q393" s="52">
        <f>Salep[[#This Row],[qtySaldoAkhir2025]]*Salep[[#This Row],[hargaSatuan]]</f>
        <v>0</v>
      </c>
      <c r="S393" s="32">
        <f t="shared" si="12"/>
        <v>0</v>
      </c>
      <c r="T393" s="32">
        <f t="shared" si="13"/>
        <v>0</v>
      </c>
    </row>
    <row r="394" spans="1:20" ht="14.4" x14ac:dyDescent="0.3">
      <c r="A394" s="44">
        <v>8</v>
      </c>
      <c r="B394" s="45" t="s">
        <v>537</v>
      </c>
      <c r="C394" s="46" t="s">
        <v>529</v>
      </c>
      <c r="D394" s="47" t="s">
        <v>539</v>
      </c>
      <c r="E394" s="48">
        <v>45901</v>
      </c>
      <c r="F394" s="49">
        <v>6997</v>
      </c>
      <c r="G394" s="45" t="s">
        <v>43</v>
      </c>
      <c r="H394" s="50">
        <v>363</v>
      </c>
      <c r="I394" s="49">
        <f>Salep[[#This Row],[qtySaldoAwalSem1]]*Salep[[#This Row],[hargaSatuan]]</f>
        <v>2539911</v>
      </c>
      <c r="J394" s="50">
        <v>0</v>
      </c>
      <c r="K394" s="51">
        <f>Salep[[#This Row],[qtyTerima2025]]*Salep[[#This Row],[hargaSatuan]]</f>
        <v>0</v>
      </c>
      <c r="L394" s="50">
        <v>72</v>
      </c>
      <c r="M394" s="51">
        <f>Salep[[#This Row],[qtyDist2025]]*Salep[[#This Row],[hargaSatuan]]</f>
        <v>503784</v>
      </c>
      <c r="N394" s="50">
        <v>291</v>
      </c>
      <c r="O394" s="51">
        <f>Salep[[#This Row],[qtyEd2025]]*Salep[[#This Row],[hargaSatuan]]</f>
        <v>2036127</v>
      </c>
      <c r="P394" s="50">
        <v>0</v>
      </c>
      <c r="Q394" s="52">
        <f>Salep[[#This Row],[qtySaldoAkhir2025]]*Salep[[#This Row],[hargaSatuan]]</f>
        <v>0</v>
      </c>
      <c r="S394" s="32">
        <f t="shared" si="12"/>
        <v>0</v>
      </c>
      <c r="T394" s="32">
        <f t="shared" si="13"/>
        <v>0</v>
      </c>
    </row>
    <row r="395" spans="1:20" ht="14.4" x14ac:dyDescent="0.3">
      <c r="A395" s="44">
        <v>9</v>
      </c>
      <c r="B395" s="45" t="s">
        <v>537</v>
      </c>
      <c r="C395" s="46" t="s">
        <v>529</v>
      </c>
      <c r="D395" s="47" t="s">
        <v>540</v>
      </c>
      <c r="E395" s="48">
        <v>45901</v>
      </c>
      <c r="F395" s="49">
        <v>6997</v>
      </c>
      <c r="G395" s="45" t="s">
        <v>43</v>
      </c>
      <c r="H395" s="50">
        <v>3600</v>
      </c>
      <c r="I395" s="49">
        <f>Salep[[#This Row],[qtySaldoAwalSem1]]*Salep[[#This Row],[hargaSatuan]]</f>
        <v>25189200</v>
      </c>
      <c r="J395" s="50">
        <v>0</v>
      </c>
      <c r="K395" s="51">
        <f>Salep[[#This Row],[qtyTerima2025]]*Salep[[#This Row],[hargaSatuan]]</f>
        <v>0</v>
      </c>
      <c r="L395" s="50">
        <v>0</v>
      </c>
      <c r="M395" s="51">
        <f>Salep[[#This Row],[qtyDist2025]]*Salep[[#This Row],[hargaSatuan]]</f>
        <v>0</v>
      </c>
      <c r="N395" s="50">
        <v>3600</v>
      </c>
      <c r="O395" s="51">
        <f>Salep[[#This Row],[qtyEd2025]]*Salep[[#This Row],[hargaSatuan]]</f>
        <v>25189200</v>
      </c>
      <c r="P395" s="50">
        <v>0</v>
      </c>
      <c r="Q395" s="52">
        <f>Salep[[#This Row],[qtySaldoAkhir2025]]*Salep[[#This Row],[hargaSatuan]]</f>
        <v>0</v>
      </c>
      <c r="S395" s="32">
        <f t="shared" si="12"/>
        <v>0</v>
      </c>
      <c r="T395" s="32">
        <f t="shared" si="13"/>
        <v>0</v>
      </c>
    </row>
    <row r="396" spans="1:20" ht="14.4" x14ac:dyDescent="0.3">
      <c r="A396" s="44">
        <v>10</v>
      </c>
      <c r="B396" s="45" t="s">
        <v>541</v>
      </c>
      <c r="C396" s="46" t="s">
        <v>529</v>
      </c>
      <c r="D396" s="47" t="s">
        <v>542</v>
      </c>
      <c r="E396" s="48">
        <v>46204</v>
      </c>
      <c r="F396" s="49">
        <v>3080</v>
      </c>
      <c r="G396" s="45" t="s">
        <v>54</v>
      </c>
      <c r="H396" s="50">
        <v>336</v>
      </c>
      <c r="I396" s="49">
        <f>Salep[[#This Row],[qtySaldoAwalSem1]]*Salep[[#This Row],[hargaSatuan]]</f>
        <v>1034880</v>
      </c>
      <c r="J396" s="50">
        <v>0</v>
      </c>
      <c r="K396" s="51">
        <f>Salep[[#This Row],[qtyTerima2025]]*Salep[[#This Row],[hargaSatuan]]</f>
        <v>0</v>
      </c>
      <c r="L396" s="50">
        <v>336</v>
      </c>
      <c r="M396" s="51">
        <f>Salep[[#This Row],[qtyDist2025]]*Salep[[#This Row],[hargaSatuan]]</f>
        <v>1034880</v>
      </c>
      <c r="N396" s="50">
        <v>0</v>
      </c>
      <c r="O396" s="51">
        <f>Salep[[#This Row],[qtyEd2025]]*Salep[[#This Row],[hargaSatuan]]</f>
        <v>0</v>
      </c>
      <c r="P396" s="50">
        <v>0</v>
      </c>
      <c r="Q396" s="52">
        <f>Salep[[#This Row],[qtySaldoAkhir2025]]*Salep[[#This Row],[hargaSatuan]]</f>
        <v>0</v>
      </c>
      <c r="S396" s="32">
        <f t="shared" si="12"/>
        <v>0</v>
      </c>
      <c r="T396" s="32">
        <f t="shared" si="13"/>
        <v>0</v>
      </c>
    </row>
    <row r="397" spans="1:20" ht="14.4" x14ac:dyDescent="0.3">
      <c r="A397" s="44">
        <v>11</v>
      </c>
      <c r="B397" s="45" t="s">
        <v>541</v>
      </c>
      <c r="C397" s="46" t="s">
        <v>529</v>
      </c>
      <c r="D397" s="47" t="s">
        <v>543</v>
      </c>
      <c r="E397" s="48">
        <v>47573</v>
      </c>
      <c r="F397" s="49">
        <v>3800</v>
      </c>
      <c r="G397" s="45" t="s">
        <v>18</v>
      </c>
      <c r="H397" s="50">
        <v>0</v>
      </c>
      <c r="I397" s="49">
        <f>Salep[[#This Row],[qtySaldoAwalSem1]]*Salep[[#This Row],[hargaSatuan]]</f>
        <v>0</v>
      </c>
      <c r="J397" s="50">
        <v>2900</v>
      </c>
      <c r="K397" s="51">
        <f>Salep[[#This Row],[qtyTerima2025]]*Salep[[#This Row],[hargaSatuan]]</f>
        <v>11020000</v>
      </c>
      <c r="L397" s="50">
        <v>1100</v>
      </c>
      <c r="M397" s="51">
        <f>Salep[[#This Row],[qtyDist2025]]*Salep[[#This Row],[hargaSatuan]]</f>
        <v>4180000</v>
      </c>
      <c r="N397" s="50">
        <v>0</v>
      </c>
      <c r="O397" s="51">
        <f>Salep[[#This Row],[qtyEd2025]]*Salep[[#This Row],[hargaSatuan]]</f>
        <v>0</v>
      </c>
      <c r="P397" s="50">
        <v>1800</v>
      </c>
      <c r="Q397" s="52">
        <f>Salep[[#This Row],[qtySaldoAkhir2025]]*Salep[[#This Row],[hargaSatuan]]</f>
        <v>6840000</v>
      </c>
      <c r="S397" s="32">
        <f t="shared" si="12"/>
        <v>6840000</v>
      </c>
      <c r="T397" s="32">
        <f t="shared" si="13"/>
        <v>0</v>
      </c>
    </row>
    <row r="398" spans="1:20" ht="14.4" x14ac:dyDescent="0.3">
      <c r="A398" s="44">
        <v>12</v>
      </c>
      <c r="B398" s="45" t="s">
        <v>544</v>
      </c>
      <c r="C398" s="46" t="s">
        <v>529</v>
      </c>
      <c r="D398" s="47" t="s">
        <v>545</v>
      </c>
      <c r="E398" s="48">
        <v>46173</v>
      </c>
      <c r="F398" s="49">
        <v>3497.61</v>
      </c>
      <c r="G398" s="45" t="s">
        <v>40</v>
      </c>
      <c r="H398" s="50">
        <v>0</v>
      </c>
      <c r="I398" s="49">
        <f>Salep[[#This Row],[qtySaldoAwalSem1]]*Salep[[#This Row],[hargaSatuan]]</f>
        <v>0</v>
      </c>
      <c r="J398" s="50">
        <v>52</v>
      </c>
      <c r="K398" s="51">
        <f>Salep[[#This Row],[qtyTerima2025]]*Salep[[#This Row],[hargaSatuan]]</f>
        <v>181875.72</v>
      </c>
      <c r="L398" s="50">
        <v>52</v>
      </c>
      <c r="M398" s="51">
        <f>Salep[[#This Row],[qtyDist2025]]*Salep[[#This Row],[hargaSatuan]]</f>
        <v>181875.72</v>
      </c>
      <c r="N398" s="50">
        <v>0</v>
      </c>
      <c r="O398" s="51">
        <f>Salep[[#This Row],[qtyEd2025]]*Salep[[#This Row],[hargaSatuan]]</f>
        <v>0</v>
      </c>
      <c r="P398" s="50">
        <v>0</v>
      </c>
      <c r="Q398" s="52">
        <f>Salep[[#This Row],[qtySaldoAkhir2025]]*Salep[[#This Row],[hargaSatuan]]</f>
        <v>0</v>
      </c>
      <c r="S398" s="32">
        <f t="shared" si="12"/>
        <v>0</v>
      </c>
      <c r="T398" s="32">
        <f t="shared" si="13"/>
        <v>0</v>
      </c>
    </row>
    <row r="399" spans="1:20" ht="14.4" x14ac:dyDescent="0.3">
      <c r="A399" s="44">
        <v>13</v>
      </c>
      <c r="B399" s="45" t="s">
        <v>546</v>
      </c>
      <c r="C399" s="46" t="s">
        <v>529</v>
      </c>
      <c r="D399" s="47" t="s">
        <v>547</v>
      </c>
      <c r="E399" s="48">
        <v>46082</v>
      </c>
      <c r="F399" s="49">
        <v>3768.45</v>
      </c>
      <c r="G399" s="45" t="s">
        <v>54</v>
      </c>
      <c r="H399" s="50">
        <v>250</v>
      </c>
      <c r="I399" s="49">
        <f>Salep[[#This Row],[qtySaldoAwalSem1]]*Salep[[#This Row],[hargaSatuan]]</f>
        <v>942112.5</v>
      </c>
      <c r="J399" s="50">
        <v>0</v>
      </c>
      <c r="K399" s="51">
        <f>Salep[[#This Row],[qtyTerima2025]]*Salep[[#This Row],[hargaSatuan]]</f>
        <v>0</v>
      </c>
      <c r="L399" s="50">
        <v>250</v>
      </c>
      <c r="M399" s="51">
        <f>Salep[[#This Row],[qtyDist2025]]*Salep[[#This Row],[hargaSatuan]]</f>
        <v>942112.5</v>
      </c>
      <c r="N399" s="50">
        <v>0</v>
      </c>
      <c r="O399" s="51">
        <f>Salep[[#This Row],[qtyEd2025]]*Salep[[#This Row],[hargaSatuan]]</f>
        <v>0</v>
      </c>
      <c r="P399" s="50">
        <v>0</v>
      </c>
      <c r="Q399" s="52">
        <f>Salep[[#This Row],[qtySaldoAkhir2025]]*Salep[[#This Row],[hargaSatuan]]</f>
        <v>0</v>
      </c>
      <c r="S399" s="32">
        <f t="shared" si="12"/>
        <v>0</v>
      </c>
      <c r="T399" s="32">
        <f t="shared" si="13"/>
        <v>0</v>
      </c>
    </row>
    <row r="400" spans="1:20" ht="14.4" x14ac:dyDescent="0.3">
      <c r="A400" s="44">
        <v>14</v>
      </c>
      <c r="B400" s="45" t="s">
        <v>548</v>
      </c>
      <c r="C400" s="46" t="s">
        <v>529</v>
      </c>
      <c r="D400" s="47" t="s">
        <v>549</v>
      </c>
      <c r="E400" s="48">
        <v>46562</v>
      </c>
      <c r="F400" s="49">
        <v>3768.45</v>
      </c>
      <c r="G400" s="45" t="s">
        <v>18</v>
      </c>
      <c r="H400" s="50">
        <v>0</v>
      </c>
      <c r="I400" s="49">
        <f>Salep[[#This Row],[qtySaldoAwalSem1]]*Salep[[#This Row],[hargaSatuan]]</f>
        <v>0</v>
      </c>
      <c r="J400" s="50">
        <v>4275</v>
      </c>
      <c r="K400" s="51">
        <f>Salep[[#This Row],[qtyTerima2025]]*Salep[[#This Row],[hargaSatuan]]</f>
        <v>16110123.75</v>
      </c>
      <c r="L400" s="50">
        <v>1250</v>
      </c>
      <c r="M400" s="51">
        <f>Salep[[#This Row],[qtyDist2025]]*Salep[[#This Row],[hargaSatuan]]</f>
        <v>4710562.5</v>
      </c>
      <c r="N400" s="50">
        <v>0</v>
      </c>
      <c r="O400" s="51">
        <f>Salep[[#This Row],[qtyEd2025]]*Salep[[#This Row],[hargaSatuan]]</f>
        <v>0</v>
      </c>
      <c r="P400" s="50">
        <v>3025</v>
      </c>
      <c r="Q400" s="52">
        <f>Salep[[#This Row],[qtySaldoAkhir2025]]*Salep[[#This Row],[hargaSatuan]]</f>
        <v>11399561.25</v>
      </c>
      <c r="S400" s="32">
        <f t="shared" si="12"/>
        <v>11399561.25</v>
      </c>
      <c r="T400" s="32">
        <f t="shared" si="13"/>
        <v>0</v>
      </c>
    </row>
    <row r="401" spans="1:20" ht="14.4" x14ac:dyDescent="0.3">
      <c r="A401" s="44">
        <v>15</v>
      </c>
      <c r="B401" s="45" t="s">
        <v>550</v>
      </c>
      <c r="C401" s="46" t="s">
        <v>529</v>
      </c>
      <c r="D401" s="47" t="s">
        <v>551</v>
      </c>
      <c r="E401" s="48">
        <v>45870</v>
      </c>
      <c r="F401" s="49">
        <v>2090</v>
      </c>
      <c r="G401" s="45" t="s">
        <v>54</v>
      </c>
      <c r="H401" s="50">
        <v>3574</v>
      </c>
      <c r="I401" s="49">
        <f>Salep[[#This Row],[qtySaldoAwalSem1]]*Salep[[#This Row],[hargaSatuan]]</f>
        <v>7469660</v>
      </c>
      <c r="J401" s="50">
        <v>0</v>
      </c>
      <c r="K401" s="51">
        <f>Salep[[#This Row],[qtyTerima2025]]*Salep[[#This Row],[hargaSatuan]]</f>
        <v>0</v>
      </c>
      <c r="L401" s="50">
        <v>1104</v>
      </c>
      <c r="M401" s="51">
        <f>Salep[[#This Row],[qtyDist2025]]*Salep[[#This Row],[hargaSatuan]]</f>
        <v>2307360</v>
      </c>
      <c r="N401" s="50">
        <v>2470</v>
      </c>
      <c r="O401" s="51">
        <f>Salep[[#This Row],[qtyEd2025]]*Salep[[#This Row],[hargaSatuan]]</f>
        <v>5162300</v>
      </c>
      <c r="P401" s="50">
        <v>0</v>
      </c>
      <c r="Q401" s="52">
        <f>Salep[[#This Row],[qtySaldoAkhir2025]]*Salep[[#This Row],[hargaSatuan]]</f>
        <v>0</v>
      </c>
      <c r="S401" s="32">
        <f t="shared" si="12"/>
        <v>0</v>
      </c>
      <c r="T401" s="32">
        <f t="shared" si="13"/>
        <v>0</v>
      </c>
    </row>
    <row r="402" spans="1:20" ht="14.4" x14ac:dyDescent="0.3">
      <c r="A402" s="44">
        <v>16</v>
      </c>
      <c r="B402" s="45" t="s">
        <v>552</v>
      </c>
      <c r="C402" s="46" t="s">
        <v>525</v>
      </c>
      <c r="D402" s="47">
        <v>66372002</v>
      </c>
      <c r="E402" s="48">
        <v>46235</v>
      </c>
      <c r="F402" s="49">
        <v>1832</v>
      </c>
      <c r="G402" s="45" t="s">
        <v>54</v>
      </c>
      <c r="H402" s="50">
        <v>270</v>
      </c>
      <c r="I402" s="49">
        <f>Salep[[#This Row],[qtySaldoAwalSem1]]*Salep[[#This Row],[hargaSatuan]]</f>
        <v>494640</v>
      </c>
      <c r="J402" s="50">
        <v>0</v>
      </c>
      <c r="K402" s="51">
        <f>Salep[[#This Row],[qtyTerima2025]]*Salep[[#This Row],[hargaSatuan]]</f>
        <v>0</v>
      </c>
      <c r="L402" s="50">
        <v>270</v>
      </c>
      <c r="M402" s="51">
        <f>Salep[[#This Row],[qtyDist2025]]*Salep[[#This Row],[hargaSatuan]]</f>
        <v>494640</v>
      </c>
      <c r="N402" s="50">
        <v>0</v>
      </c>
      <c r="O402" s="51">
        <f>Salep[[#This Row],[qtyEd2025]]*Salep[[#This Row],[hargaSatuan]]</f>
        <v>0</v>
      </c>
      <c r="P402" s="50">
        <v>0</v>
      </c>
      <c r="Q402" s="52">
        <f>Salep[[#This Row],[qtySaldoAkhir2025]]*Salep[[#This Row],[hargaSatuan]]</f>
        <v>0</v>
      </c>
      <c r="S402" s="32">
        <f t="shared" si="12"/>
        <v>0</v>
      </c>
      <c r="T402" s="32">
        <f t="shared" si="13"/>
        <v>0</v>
      </c>
    </row>
    <row r="403" spans="1:20" ht="14.4" x14ac:dyDescent="0.3">
      <c r="A403" s="44">
        <v>17</v>
      </c>
      <c r="B403" s="45" t="s">
        <v>553</v>
      </c>
      <c r="C403" s="46" t="s">
        <v>529</v>
      </c>
      <c r="D403" s="47" t="s">
        <v>554</v>
      </c>
      <c r="E403" s="48">
        <v>46113</v>
      </c>
      <c r="F403" s="49">
        <v>3885</v>
      </c>
      <c r="G403" s="45" t="s">
        <v>40</v>
      </c>
      <c r="H403" s="50">
        <v>2175</v>
      </c>
      <c r="I403" s="49">
        <f>Salep[[#This Row],[qtySaldoAwalSem1]]*Salep[[#This Row],[hargaSatuan]]</f>
        <v>8449875</v>
      </c>
      <c r="J403" s="50">
        <v>0</v>
      </c>
      <c r="K403" s="51">
        <f>Salep[[#This Row],[qtyTerima2025]]*Salep[[#This Row],[hargaSatuan]]</f>
        <v>0</v>
      </c>
      <c r="L403" s="50">
        <v>750</v>
      </c>
      <c r="M403" s="51">
        <f>Salep[[#This Row],[qtyDist2025]]*Salep[[#This Row],[hargaSatuan]]</f>
        <v>2913750</v>
      </c>
      <c r="N403" s="50">
        <v>0</v>
      </c>
      <c r="O403" s="51">
        <f>Salep[[#This Row],[qtyEd2025]]*Salep[[#This Row],[hargaSatuan]]</f>
        <v>0</v>
      </c>
      <c r="P403" s="50">
        <v>1425</v>
      </c>
      <c r="Q403" s="52">
        <f>Salep[[#This Row],[qtySaldoAkhir2025]]*Salep[[#This Row],[hargaSatuan]]</f>
        <v>5536125</v>
      </c>
      <c r="S403" s="32">
        <f t="shared" si="12"/>
        <v>5536125</v>
      </c>
      <c r="T403" s="32">
        <f t="shared" si="13"/>
        <v>0</v>
      </c>
    </row>
    <row r="404" spans="1:20" ht="14.4" x14ac:dyDescent="0.3">
      <c r="A404" s="44">
        <v>18</v>
      </c>
      <c r="B404" s="45" t="s">
        <v>555</v>
      </c>
      <c r="C404" s="46" t="s">
        <v>529</v>
      </c>
      <c r="D404" s="47" t="s">
        <v>556</v>
      </c>
      <c r="E404" s="48">
        <v>46266</v>
      </c>
      <c r="F404" s="49">
        <v>7548</v>
      </c>
      <c r="G404" s="45" t="s">
        <v>17</v>
      </c>
      <c r="H404" s="50">
        <v>797</v>
      </c>
      <c r="I404" s="49">
        <f>Salep[[#This Row],[qtySaldoAwalSem1]]*Salep[[#This Row],[hargaSatuan]]</f>
        <v>6015756</v>
      </c>
      <c r="J404" s="50">
        <v>0</v>
      </c>
      <c r="K404" s="51">
        <f>Salep[[#This Row],[qtyTerima2025]]*Salep[[#This Row],[hargaSatuan]]</f>
        <v>0</v>
      </c>
      <c r="L404" s="50">
        <v>797</v>
      </c>
      <c r="M404" s="51">
        <f>Salep[[#This Row],[qtyDist2025]]*Salep[[#This Row],[hargaSatuan]]</f>
        <v>6015756</v>
      </c>
      <c r="N404" s="50">
        <v>0</v>
      </c>
      <c r="O404" s="51">
        <f>Salep[[#This Row],[qtyEd2025]]*Salep[[#This Row],[hargaSatuan]]</f>
        <v>0</v>
      </c>
      <c r="P404" s="50">
        <v>0</v>
      </c>
      <c r="Q404" s="52">
        <f>Salep[[#This Row],[qtySaldoAkhir2025]]*Salep[[#This Row],[hargaSatuan]]</f>
        <v>0</v>
      </c>
      <c r="S404" s="32">
        <f t="shared" si="12"/>
        <v>0</v>
      </c>
      <c r="T404" s="32">
        <f t="shared" si="13"/>
        <v>0</v>
      </c>
    </row>
    <row r="405" spans="1:20" ht="14.4" x14ac:dyDescent="0.3">
      <c r="A405" s="44">
        <v>19</v>
      </c>
      <c r="B405" s="45" t="s">
        <v>555</v>
      </c>
      <c r="C405" s="46" t="s">
        <v>529</v>
      </c>
      <c r="D405" s="47" t="s">
        <v>557</v>
      </c>
      <c r="E405" s="48">
        <v>46266</v>
      </c>
      <c r="F405" s="49">
        <v>7548</v>
      </c>
      <c r="G405" s="45" t="s">
        <v>17</v>
      </c>
      <c r="H405" s="50">
        <v>3775</v>
      </c>
      <c r="I405" s="49">
        <f>Salep[[#This Row],[qtySaldoAwalSem1]]*Salep[[#This Row],[hargaSatuan]]</f>
        <v>28493700</v>
      </c>
      <c r="J405" s="50">
        <v>0</v>
      </c>
      <c r="K405" s="51">
        <f>Salep[[#This Row],[qtyTerima2025]]*Salep[[#This Row],[hargaSatuan]]</f>
        <v>0</v>
      </c>
      <c r="L405" s="50">
        <v>66</v>
      </c>
      <c r="M405" s="51">
        <f>Salep[[#This Row],[qtyDist2025]]*Salep[[#This Row],[hargaSatuan]]</f>
        <v>498168</v>
      </c>
      <c r="N405" s="50">
        <v>0</v>
      </c>
      <c r="O405" s="51">
        <f>Salep[[#This Row],[qtyEd2025]]*Salep[[#This Row],[hargaSatuan]]</f>
        <v>0</v>
      </c>
      <c r="P405" s="50">
        <v>3709</v>
      </c>
      <c r="Q405" s="52">
        <f>Salep[[#This Row],[qtySaldoAkhir2025]]*Salep[[#This Row],[hargaSatuan]]</f>
        <v>27995532</v>
      </c>
      <c r="S405" s="32">
        <f t="shared" si="12"/>
        <v>27995532</v>
      </c>
      <c r="T405" s="32">
        <f t="shared" si="13"/>
        <v>0</v>
      </c>
    </row>
    <row r="406" spans="1:20" ht="14.4" x14ac:dyDescent="0.3">
      <c r="A406" s="44">
        <v>22</v>
      </c>
      <c r="B406" s="45" t="s">
        <v>558</v>
      </c>
      <c r="C406" s="46" t="s">
        <v>529</v>
      </c>
      <c r="D406" s="47">
        <v>4310019</v>
      </c>
      <c r="E406" s="48">
        <v>45931</v>
      </c>
      <c r="F406" s="49">
        <v>4400</v>
      </c>
      <c r="G406" s="45" t="s">
        <v>43</v>
      </c>
      <c r="H406" s="50">
        <v>704</v>
      </c>
      <c r="I406" s="49">
        <f>Salep[[#This Row],[qtySaldoAwalSem1]]*Salep[[#This Row],[hargaSatuan]]</f>
        <v>3097600</v>
      </c>
      <c r="J406" s="50">
        <v>0</v>
      </c>
      <c r="K406" s="51">
        <f>Salep[[#This Row],[qtyTerima2025]]*Salep[[#This Row],[hargaSatuan]]</f>
        <v>0</v>
      </c>
      <c r="L406" s="50">
        <v>394</v>
      </c>
      <c r="M406" s="51">
        <f>Salep[[#This Row],[qtyDist2025]]*Salep[[#This Row],[hargaSatuan]]</f>
        <v>1733600</v>
      </c>
      <c r="N406" s="50">
        <v>310</v>
      </c>
      <c r="O406" s="51">
        <f>Salep[[#This Row],[qtyEd2025]]*Salep[[#This Row],[hargaSatuan]]</f>
        <v>1364000</v>
      </c>
      <c r="P406" s="50">
        <v>0</v>
      </c>
      <c r="Q406" s="52">
        <f>Salep[[#This Row],[qtySaldoAkhir2025]]*Salep[[#This Row],[hargaSatuan]]</f>
        <v>0</v>
      </c>
      <c r="S406" s="32">
        <f t="shared" si="12"/>
        <v>0</v>
      </c>
      <c r="T406" s="32">
        <f t="shared" si="13"/>
        <v>0</v>
      </c>
    </row>
    <row r="407" spans="1:20" ht="14.4" x14ac:dyDescent="0.3">
      <c r="A407" s="44">
        <v>23</v>
      </c>
      <c r="B407" s="45" t="s">
        <v>558</v>
      </c>
      <c r="C407" s="46" t="s">
        <v>529</v>
      </c>
      <c r="D407" s="47">
        <v>4311012</v>
      </c>
      <c r="E407" s="48">
        <v>45962</v>
      </c>
      <c r="F407" s="49">
        <v>4400</v>
      </c>
      <c r="G407" s="45" t="s">
        <v>43</v>
      </c>
      <c r="H407" s="50">
        <v>106</v>
      </c>
      <c r="I407" s="49">
        <f>Salep[[#This Row],[qtySaldoAwalSem1]]*Salep[[#This Row],[hargaSatuan]]</f>
        <v>466400</v>
      </c>
      <c r="J407" s="50">
        <v>0</v>
      </c>
      <c r="K407" s="51">
        <f>Salep[[#This Row],[qtyTerima2025]]*Salep[[#This Row],[hargaSatuan]]</f>
        <v>0</v>
      </c>
      <c r="L407" s="50">
        <v>0</v>
      </c>
      <c r="M407" s="51">
        <f>Salep[[#This Row],[qtyDist2025]]*Salep[[#This Row],[hargaSatuan]]</f>
        <v>0</v>
      </c>
      <c r="N407" s="50">
        <v>106</v>
      </c>
      <c r="O407" s="51">
        <f>Salep[[#This Row],[qtyEd2025]]*Salep[[#This Row],[hargaSatuan]]</f>
        <v>466400</v>
      </c>
      <c r="P407" s="50">
        <v>0</v>
      </c>
      <c r="Q407" s="52">
        <f>Salep[[#This Row],[qtySaldoAkhir2025]]*Salep[[#This Row],[hargaSatuan]]</f>
        <v>0</v>
      </c>
      <c r="S407" s="32">
        <f t="shared" si="12"/>
        <v>0</v>
      </c>
      <c r="T407" s="32">
        <f t="shared" si="13"/>
        <v>0</v>
      </c>
    </row>
    <row r="408" spans="1:20" ht="14.4" x14ac:dyDescent="0.3">
      <c r="A408" s="44">
        <v>24</v>
      </c>
      <c r="B408" s="45" t="s">
        <v>558</v>
      </c>
      <c r="C408" s="46" t="s">
        <v>529</v>
      </c>
      <c r="D408" s="47">
        <v>1311013</v>
      </c>
      <c r="E408" s="48">
        <v>45962</v>
      </c>
      <c r="F408" s="49">
        <v>4400</v>
      </c>
      <c r="G408" s="45" t="s">
        <v>43</v>
      </c>
      <c r="H408" s="50">
        <v>894</v>
      </c>
      <c r="I408" s="49">
        <f>Salep[[#This Row],[qtySaldoAwalSem1]]*Salep[[#This Row],[hargaSatuan]]</f>
        <v>3933600</v>
      </c>
      <c r="J408" s="50">
        <v>0</v>
      </c>
      <c r="K408" s="51">
        <f>Salep[[#This Row],[qtyTerima2025]]*Salep[[#This Row],[hargaSatuan]]</f>
        <v>0</v>
      </c>
      <c r="L408" s="50">
        <v>0</v>
      </c>
      <c r="M408" s="51">
        <f>Salep[[#This Row],[qtyDist2025]]*Salep[[#This Row],[hargaSatuan]]</f>
        <v>0</v>
      </c>
      <c r="N408" s="50">
        <v>894</v>
      </c>
      <c r="O408" s="51">
        <f>Salep[[#This Row],[qtyEd2025]]*Salep[[#This Row],[hargaSatuan]]</f>
        <v>3933600</v>
      </c>
      <c r="P408" s="50">
        <v>0</v>
      </c>
      <c r="Q408" s="52">
        <f>Salep[[#This Row],[qtySaldoAkhir2025]]*Salep[[#This Row],[hargaSatuan]]</f>
        <v>0</v>
      </c>
      <c r="S408" s="32">
        <f t="shared" si="12"/>
        <v>0</v>
      </c>
      <c r="T408" s="32">
        <f t="shared" si="13"/>
        <v>0</v>
      </c>
    </row>
    <row r="409" spans="1:20" ht="14.4" x14ac:dyDescent="0.3">
      <c r="A409" s="44">
        <v>25</v>
      </c>
      <c r="B409" s="45" t="s">
        <v>558</v>
      </c>
      <c r="C409" s="46" t="s">
        <v>529</v>
      </c>
      <c r="D409" s="47">
        <v>4403001</v>
      </c>
      <c r="E409" s="48">
        <v>46082</v>
      </c>
      <c r="F409" s="49">
        <v>4290</v>
      </c>
      <c r="G409" s="45" t="s">
        <v>54</v>
      </c>
      <c r="H409" s="50">
        <v>432</v>
      </c>
      <c r="I409" s="49">
        <f>Salep[[#This Row],[qtySaldoAwalSem1]]*Salep[[#This Row],[hargaSatuan]]</f>
        <v>1853280</v>
      </c>
      <c r="J409" s="50">
        <v>0</v>
      </c>
      <c r="K409" s="51">
        <f>Salep[[#This Row],[qtyTerima2025]]*Salep[[#This Row],[hargaSatuan]]</f>
        <v>0</v>
      </c>
      <c r="L409" s="50">
        <v>360</v>
      </c>
      <c r="M409" s="51">
        <f>Salep[[#This Row],[qtyDist2025]]*Salep[[#This Row],[hargaSatuan]]</f>
        <v>1544400</v>
      </c>
      <c r="N409" s="50">
        <v>0</v>
      </c>
      <c r="O409" s="51">
        <f>Salep[[#This Row],[qtyEd2025]]*Salep[[#This Row],[hargaSatuan]]</f>
        <v>0</v>
      </c>
      <c r="P409" s="50">
        <v>72</v>
      </c>
      <c r="Q409" s="52">
        <f>Salep[[#This Row],[qtySaldoAkhir2025]]*Salep[[#This Row],[hargaSatuan]]</f>
        <v>308880</v>
      </c>
      <c r="S409" s="32">
        <f t="shared" si="12"/>
        <v>308880</v>
      </c>
      <c r="T409" s="32">
        <f t="shared" si="13"/>
        <v>0</v>
      </c>
    </row>
    <row r="410" spans="1:20" ht="14.4" x14ac:dyDescent="0.3">
      <c r="A410" s="44">
        <v>20</v>
      </c>
      <c r="B410" s="45" t="s">
        <v>559</v>
      </c>
      <c r="C410" s="46" t="s">
        <v>560</v>
      </c>
      <c r="D410" s="47" t="s">
        <v>561</v>
      </c>
      <c r="E410" s="48">
        <v>47604</v>
      </c>
      <c r="F410" s="49">
        <v>205300</v>
      </c>
      <c r="G410" s="45" t="s">
        <v>43</v>
      </c>
      <c r="H410" s="50">
        <v>0</v>
      </c>
      <c r="I410" s="49">
        <f>Salep[[#This Row],[qtySaldoAwalSem1]]*Salep[[#This Row],[hargaSatuan]]</f>
        <v>0</v>
      </c>
      <c r="J410" s="50">
        <v>120</v>
      </c>
      <c r="K410" s="51">
        <f>Salep[[#This Row],[qtyTerima2025]]*Salep[[#This Row],[hargaSatuan]]</f>
        <v>24636000</v>
      </c>
      <c r="L410" s="50">
        <v>120</v>
      </c>
      <c r="M410" s="51">
        <f>Salep[[#This Row],[qtyDist2025]]*Salep[[#This Row],[hargaSatuan]]</f>
        <v>24636000</v>
      </c>
      <c r="N410" s="50">
        <v>0</v>
      </c>
      <c r="O410" s="51">
        <f>Salep[[#This Row],[qtyEd2025]]*Salep[[#This Row],[hargaSatuan]]</f>
        <v>0</v>
      </c>
      <c r="P410" s="50">
        <v>0</v>
      </c>
      <c r="Q410" s="52">
        <f>Salep[[#This Row],[qtySaldoAkhir2025]]*Salep[[#This Row],[hargaSatuan]]</f>
        <v>0</v>
      </c>
      <c r="S410" s="32">
        <f t="shared" si="12"/>
        <v>0</v>
      </c>
      <c r="T410" s="32">
        <f t="shared" si="13"/>
        <v>0</v>
      </c>
    </row>
    <row r="411" spans="1:20" ht="14.4" x14ac:dyDescent="0.3">
      <c r="A411" s="44">
        <v>21</v>
      </c>
      <c r="B411" s="45" t="s">
        <v>559</v>
      </c>
      <c r="C411" s="46" t="s">
        <v>560</v>
      </c>
      <c r="D411" s="47" t="s">
        <v>561</v>
      </c>
      <c r="E411" s="48">
        <v>47604</v>
      </c>
      <c r="F411" s="49">
        <v>205300</v>
      </c>
      <c r="G411" s="45" t="s">
        <v>43</v>
      </c>
      <c r="H411" s="50">
        <v>0</v>
      </c>
      <c r="I411" s="49">
        <f>Salep[[#This Row],[qtySaldoAwalSem1]]*Salep[[#This Row],[hargaSatuan]]</f>
        <v>0</v>
      </c>
      <c r="J411" s="50">
        <v>80</v>
      </c>
      <c r="K411" s="51">
        <f>Salep[[#This Row],[qtyTerima2025]]*Salep[[#This Row],[hargaSatuan]]</f>
        <v>16424000</v>
      </c>
      <c r="L411" s="50">
        <v>80</v>
      </c>
      <c r="M411" s="51">
        <f>Salep[[#This Row],[qtyDist2025]]*Salep[[#This Row],[hargaSatuan]]</f>
        <v>16424000</v>
      </c>
      <c r="N411" s="50">
        <v>0</v>
      </c>
      <c r="O411" s="51">
        <f>Salep[[#This Row],[qtyEd2025]]*Salep[[#This Row],[hargaSatuan]]</f>
        <v>0</v>
      </c>
      <c r="P411" s="50">
        <v>0</v>
      </c>
      <c r="Q411" s="52">
        <f>Salep[[#This Row],[qtySaldoAkhir2025]]*Salep[[#This Row],[hargaSatuan]]</f>
        <v>0</v>
      </c>
      <c r="S411" s="32">
        <f t="shared" si="12"/>
        <v>0</v>
      </c>
      <c r="T411" s="32">
        <f t="shared" si="13"/>
        <v>0</v>
      </c>
    </row>
    <row r="412" spans="1:20" ht="14.4" x14ac:dyDescent="0.3">
      <c r="A412" s="44">
        <v>27</v>
      </c>
      <c r="B412" s="45" t="s">
        <v>562</v>
      </c>
      <c r="C412" s="46" t="s">
        <v>529</v>
      </c>
      <c r="D412" s="47" t="s">
        <v>563</v>
      </c>
      <c r="E412" s="48">
        <v>46204</v>
      </c>
      <c r="F412" s="49">
        <v>20837</v>
      </c>
      <c r="G412" s="45" t="s">
        <v>43</v>
      </c>
      <c r="H412" s="50">
        <v>400</v>
      </c>
      <c r="I412" s="49">
        <f>Salep[[#This Row],[qtySaldoAwalSem1]]*Salep[[#This Row],[hargaSatuan]]</f>
        <v>8334800</v>
      </c>
      <c r="J412" s="50">
        <v>0</v>
      </c>
      <c r="K412" s="51">
        <f>Salep[[#This Row],[qtyTerima2025]]*Salep[[#This Row],[hargaSatuan]]</f>
        <v>0</v>
      </c>
      <c r="L412" s="50">
        <v>372</v>
      </c>
      <c r="M412" s="51">
        <f>Salep[[#This Row],[qtyDist2025]]*Salep[[#This Row],[hargaSatuan]]</f>
        <v>7751364</v>
      </c>
      <c r="N412" s="50">
        <v>0</v>
      </c>
      <c r="O412" s="51">
        <f>Salep[[#This Row],[qtyEd2025]]*Salep[[#This Row],[hargaSatuan]]</f>
        <v>0</v>
      </c>
      <c r="P412" s="50">
        <v>28</v>
      </c>
      <c r="Q412" s="52">
        <f>Salep[[#This Row],[qtySaldoAkhir2025]]*Salep[[#This Row],[hargaSatuan]]</f>
        <v>583436</v>
      </c>
      <c r="S412" s="32">
        <f t="shared" si="12"/>
        <v>583436</v>
      </c>
      <c r="T412" s="32">
        <f t="shared" si="13"/>
        <v>0</v>
      </c>
    </row>
    <row r="413" spans="1:20" ht="14.4" x14ac:dyDescent="0.3">
      <c r="A413" s="59">
        <v>26</v>
      </c>
      <c r="B413" s="60" t="s">
        <v>564</v>
      </c>
      <c r="C413" s="61" t="s">
        <v>529</v>
      </c>
      <c r="D413" s="62" t="s">
        <v>565</v>
      </c>
      <c r="E413" s="63">
        <v>46388</v>
      </c>
      <c r="F413" s="64">
        <v>22339</v>
      </c>
      <c r="G413" s="60" t="s">
        <v>54</v>
      </c>
      <c r="H413" s="65">
        <v>500</v>
      </c>
      <c r="I413" s="49">
        <f>Salep[[#This Row],[qtySaldoAwalSem1]]*Salep[[#This Row],[hargaSatuan]]</f>
        <v>11169500</v>
      </c>
      <c r="J413" s="65">
        <v>0</v>
      </c>
      <c r="K413" s="51">
        <f>Salep[[#This Row],[qtyTerima2025]]*Salep[[#This Row],[hargaSatuan]]</f>
        <v>0</v>
      </c>
      <c r="L413" s="65">
        <v>0</v>
      </c>
      <c r="M413" s="51">
        <f>Salep[[#This Row],[qtyDist2025]]*Salep[[#This Row],[hargaSatuan]]</f>
        <v>0</v>
      </c>
      <c r="N413" s="65">
        <v>0</v>
      </c>
      <c r="O413" s="51">
        <f>Salep[[#This Row],[qtyEd2025]]*Salep[[#This Row],[hargaSatuan]]</f>
        <v>0</v>
      </c>
      <c r="P413" s="65">
        <v>500</v>
      </c>
      <c r="Q413" s="52">
        <f>Salep[[#This Row],[qtySaldoAkhir2025]]*Salep[[#This Row],[hargaSatuan]]</f>
        <v>11169500</v>
      </c>
      <c r="S413" s="32">
        <f t="shared" si="12"/>
        <v>11169500</v>
      </c>
      <c r="T413" s="32">
        <f t="shared" si="13"/>
        <v>0</v>
      </c>
    </row>
    <row r="414" spans="1:20" ht="14.4" x14ac:dyDescent="0.3">
      <c r="A414" s="83"/>
      <c r="B414" s="27" t="s">
        <v>566</v>
      </c>
      <c r="C414" s="26"/>
      <c r="D414" s="28"/>
      <c r="E414" s="29"/>
      <c r="F414" s="30"/>
      <c r="G414" s="27"/>
      <c r="H414" s="31"/>
      <c r="I414" s="30">
        <f>SUBTOTAL(9,Sirup[nomSaldoAwalSem1])</f>
        <v>347835892.06478429</v>
      </c>
      <c r="J414" s="30"/>
      <c r="K414" s="30">
        <f>SUBTOTAL(9,Sirup[nomTerima2025])</f>
        <v>182255872.99950001</v>
      </c>
      <c r="L414" s="30"/>
      <c r="M414" s="30">
        <f>SUBTOTAL(9,Sirup[nomDist2025])</f>
        <v>394446290.5177843</v>
      </c>
      <c r="N414" s="30"/>
      <c r="O414" s="30">
        <f>SUBTOTAL(9,Sirup[nomEd2025])</f>
        <v>26932820</v>
      </c>
      <c r="P414" s="30"/>
      <c r="Q414" s="30">
        <f>SUBTOTAL(9,Sirup[nomSaldoAkhir2025])</f>
        <v>108712654.5465</v>
      </c>
      <c r="S414" s="32">
        <f t="shared" si="12"/>
        <v>108712654.54650003</v>
      </c>
      <c r="T414" s="32">
        <f t="shared" si="13"/>
        <v>-2.9802322387695313E-8</v>
      </c>
    </row>
    <row r="415" spans="1:20" ht="14.4" x14ac:dyDescent="0.3">
      <c r="A415" s="35" t="s">
        <v>19</v>
      </c>
      <c r="B415" s="36" t="s">
        <v>20</v>
      </c>
      <c r="C415" s="37" t="s">
        <v>21</v>
      </c>
      <c r="D415" s="38" t="s">
        <v>22</v>
      </c>
      <c r="E415" s="39" t="s">
        <v>23</v>
      </c>
      <c r="F415" s="40" t="s">
        <v>24</v>
      </c>
      <c r="G415" s="36" t="s">
        <v>25</v>
      </c>
      <c r="H415" s="41" t="s">
        <v>26</v>
      </c>
      <c r="I415" s="40" t="s">
        <v>27</v>
      </c>
      <c r="J415" s="41" t="s">
        <v>28</v>
      </c>
      <c r="K415" s="66" t="s">
        <v>29</v>
      </c>
      <c r="L415" s="41" t="s">
        <v>30</v>
      </c>
      <c r="M415" s="66" t="s">
        <v>31</v>
      </c>
      <c r="N415" s="41" t="s">
        <v>32</v>
      </c>
      <c r="O415" s="66" t="s">
        <v>33</v>
      </c>
      <c r="P415" s="41" t="s">
        <v>34</v>
      </c>
      <c r="Q415" s="67" t="s">
        <v>35</v>
      </c>
      <c r="S415" s="32">
        <f t="shared" si="12"/>
        <v>0</v>
      </c>
      <c r="T415" s="32">
        <f t="shared" si="13"/>
        <v>0</v>
      </c>
    </row>
    <row r="416" spans="1:20" ht="14.4" x14ac:dyDescent="0.3">
      <c r="A416" s="44">
        <v>1</v>
      </c>
      <c r="B416" s="45" t="s">
        <v>567</v>
      </c>
      <c r="C416" s="46" t="s">
        <v>38</v>
      </c>
      <c r="D416" s="47">
        <v>2306152</v>
      </c>
      <c r="E416" s="48">
        <v>45809</v>
      </c>
      <c r="F416" s="49">
        <v>4473</v>
      </c>
      <c r="G416" s="45" t="s">
        <v>40</v>
      </c>
      <c r="H416" s="50">
        <v>770</v>
      </c>
      <c r="I416" s="49">
        <f>Sirup[[#This Row],[qtySaldoAwalSem1]]*Sirup[[#This Row],[hargaSatuan]]</f>
        <v>3444210</v>
      </c>
      <c r="J416" s="50">
        <v>0</v>
      </c>
      <c r="K416" s="51">
        <f>Sirup[[#This Row],[qtyTerima2025]]*Sirup[[#This Row],[hargaSatuan]]</f>
        <v>0</v>
      </c>
      <c r="L416" s="50">
        <v>770</v>
      </c>
      <c r="M416" s="51">
        <f>Sirup[[#This Row],[qtyDist2025]]*Sirup[[#This Row],[hargaSatuan]]</f>
        <v>3444210</v>
      </c>
      <c r="N416" s="50">
        <v>0</v>
      </c>
      <c r="O416" s="51">
        <f>Sirup[[#This Row],[qtyEd2025]]*Sirup[[#This Row],[hargaSatuan]]</f>
        <v>0</v>
      </c>
      <c r="P416" s="50">
        <v>0</v>
      </c>
      <c r="Q416" s="52">
        <f>Sirup[[#This Row],[qtySaldoAkhir2025]]*Sirup[[#This Row],[hargaSatuan]]</f>
        <v>0</v>
      </c>
      <c r="S416" s="32">
        <f t="shared" si="12"/>
        <v>0</v>
      </c>
      <c r="T416" s="32">
        <f t="shared" si="13"/>
        <v>0</v>
      </c>
    </row>
    <row r="417" spans="1:20" ht="14.4" x14ac:dyDescent="0.3">
      <c r="A417" s="44">
        <v>2</v>
      </c>
      <c r="B417" s="45" t="s">
        <v>568</v>
      </c>
      <c r="C417" s="46" t="s">
        <v>349</v>
      </c>
      <c r="D417" s="47" t="s">
        <v>569</v>
      </c>
      <c r="E417" s="48">
        <v>46692</v>
      </c>
      <c r="F417" s="49">
        <v>9514</v>
      </c>
      <c r="G417" s="45" t="s">
        <v>18</v>
      </c>
      <c r="H417" s="50">
        <v>0</v>
      </c>
      <c r="I417" s="49">
        <f>Sirup[[#This Row],[qtySaldoAwalSem1]]*Sirup[[#This Row],[hargaSatuan]]</f>
        <v>0</v>
      </c>
      <c r="J417" s="50">
        <v>2120</v>
      </c>
      <c r="K417" s="51">
        <f>Sirup[[#This Row],[qtyTerima2025]]*Sirup[[#This Row],[hargaSatuan]]</f>
        <v>20169680</v>
      </c>
      <c r="L417" s="50">
        <v>2120</v>
      </c>
      <c r="M417" s="51">
        <f>Sirup[[#This Row],[qtyDist2025]]*Sirup[[#This Row],[hargaSatuan]]</f>
        <v>20169680</v>
      </c>
      <c r="N417" s="50">
        <v>0</v>
      </c>
      <c r="O417" s="51">
        <f>Sirup[[#This Row],[qtyEd2025]]*Sirup[[#This Row],[hargaSatuan]]</f>
        <v>0</v>
      </c>
      <c r="P417" s="50">
        <v>0</v>
      </c>
      <c r="Q417" s="52">
        <f>Sirup[[#This Row],[qtySaldoAkhir2025]]*Sirup[[#This Row],[hargaSatuan]]</f>
        <v>0</v>
      </c>
      <c r="S417" s="32">
        <f t="shared" si="12"/>
        <v>0</v>
      </c>
      <c r="T417" s="32">
        <f t="shared" si="13"/>
        <v>0</v>
      </c>
    </row>
    <row r="418" spans="1:20" ht="14.4" x14ac:dyDescent="0.3">
      <c r="A418" s="44">
        <v>3</v>
      </c>
      <c r="B418" s="45" t="s">
        <v>570</v>
      </c>
      <c r="C418" s="46" t="s">
        <v>38</v>
      </c>
      <c r="D418" s="47" t="s">
        <v>571</v>
      </c>
      <c r="E418" s="48">
        <v>45901</v>
      </c>
      <c r="F418" s="49">
        <v>12250</v>
      </c>
      <c r="G418" s="45" t="s">
        <v>54</v>
      </c>
      <c r="H418" s="50">
        <v>857</v>
      </c>
      <c r="I418" s="49">
        <f>Sirup[[#This Row],[qtySaldoAwalSem1]]*Sirup[[#This Row],[hargaSatuan]]</f>
        <v>10498250</v>
      </c>
      <c r="J418" s="50">
        <v>0</v>
      </c>
      <c r="K418" s="51">
        <f>Sirup[[#This Row],[qtyTerima2025]]*Sirup[[#This Row],[hargaSatuan]]</f>
        <v>0</v>
      </c>
      <c r="L418" s="50">
        <v>65</v>
      </c>
      <c r="M418" s="51">
        <f>Sirup[[#This Row],[qtyDist2025]]*Sirup[[#This Row],[hargaSatuan]]</f>
        <v>796250</v>
      </c>
      <c r="N418" s="50">
        <v>792</v>
      </c>
      <c r="O418" s="51">
        <f>Sirup[[#This Row],[qtyEd2025]]*Sirup[[#This Row],[hargaSatuan]]</f>
        <v>9702000</v>
      </c>
      <c r="P418" s="50">
        <v>0</v>
      </c>
      <c r="Q418" s="52">
        <f>Sirup[[#This Row],[qtySaldoAkhir2025]]*Sirup[[#This Row],[hargaSatuan]]</f>
        <v>0</v>
      </c>
      <c r="S418" s="32">
        <f t="shared" si="12"/>
        <v>0</v>
      </c>
      <c r="T418" s="32">
        <f t="shared" si="13"/>
        <v>0</v>
      </c>
    </row>
    <row r="419" spans="1:20" ht="14.4" x14ac:dyDescent="0.3">
      <c r="A419" s="44">
        <v>4</v>
      </c>
      <c r="B419" s="45" t="s">
        <v>570</v>
      </c>
      <c r="C419" s="46" t="s">
        <v>38</v>
      </c>
      <c r="D419" s="47" t="s">
        <v>572</v>
      </c>
      <c r="E419" s="48">
        <v>45870</v>
      </c>
      <c r="F419" s="49">
        <v>11306</v>
      </c>
      <c r="G419" s="45" t="s">
        <v>54</v>
      </c>
      <c r="H419" s="50">
        <v>266</v>
      </c>
      <c r="I419" s="49">
        <f>Sirup[[#This Row],[qtySaldoAwalSem1]]*Sirup[[#This Row],[hargaSatuan]]</f>
        <v>3007396</v>
      </c>
      <c r="J419" s="50">
        <v>0</v>
      </c>
      <c r="K419" s="51">
        <f>Sirup[[#This Row],[qtyTerima2025]]*Sirup[[#This Row],[hargaSatuan]]</f>
        <v>0</v>
      </c>
      <c r="L419" s="50">
        <v>243</v>
      </c>
      <c r="M419" s="51">
        <f>Sirup[[#This Row],[qtyDist2025]]*Sirup[[#This Row],[hargaSatuan]]</f>
        <v>2747358</v>
      </c>
      <c r="N419" s="50">
        <v>23</v>
      </c>
      <c r="O419" s="51">
        <f>Sirup[[#This Row],[qtyEd2025]]*Sirup[[#This Row],[hargaSatuan]]</f>
        <v>260038</v>
      </c>
      <c r="P419" s="50">
        <v>0</v>
      </c>
      <c r="Q419" s="52">
        <f>Sirup[[#This Row],[qtySaldoAkhir2025]]*Sirup[[#This Row],[hargaSatuan]]</f>
        <v>0</v>
      </c>
      <c r="S419" s="32">
        <f t="shared" si="12"/>
        <v>0</v>
      </c>
      <c r="T419" s="32">
        <f t="shared" si="13"/>
        <v>0</v>
      </c>
    </row>
    <row r="420" spans="1:20" ht="14.4" x14ac:dyDescent="0.3">
      <c r="A420" s="44">
        <v>5</v>
      </c>
      <c r="B420" s="45" t="s">
        <v>573</v>
      </c>
      <c r="C420" s="46" t="s">
        <v>38</v>
      </c>
      <c r="D420" s="47" t="s">
        <v>574</v>
      </c>
      <c r="E420" s="48">
        <v>46266</v>
      </c>
      <c r="F420" s="49">
        <v>3306</v>
      </c>
      <c r="G420" s="45" t="s">
        <v>43</v>
      </c>
      <c r="H420" s="50">
        <v>5545</v>
      </c>
      <c r="I420" s="49">
        <f>Sirup[[#This Row],[qtySaldoAwalSem1]]*Sirup[[#This Row],[hargaSatuan]]</f>
        <v>18331770</v>
      </c>
      <c r="J420" s="50">
        <v>0</v>
      </c>
      <c r="K420" s="51">
        <f>Sirup[[#This Row],[qtyTerima2025]]*Sirup[[#This Row],[hargaSatuan]]</f>
        <v>0</v>
      </c>
      <c r="L420" s="50">
        <v>5275</v>
      </c>
      <c r="M420" s="51">
        <f>Sirup[[#This Row],[qtyDist2025]]*Sirup[[#This Row],[hargaSatuan]]</f>
        <v>17439150</v>
      </c>
      <c r="N420" s="50">
        <v>0</v>
      </c>
      <c r="O420" s="51">
        <f>Sirup[[#This Row],[qtyEd2025]]*Sirup[[#This Row],[hargaSatuan]]</f>
        <v>0</v>
      </c>
      <c r="P420" s="50">
        <v>270</v>
      </c>
      <c r="Q420" s="52">
        <f>Sirup[[#This Row],[qtySaldoAkhir2025]]*Sirup[[#This Row],[hargaSatuan]]</f>
        <v>892620</v>
      </c>
      <c r="S420" s="32">
        <f t="shared" si="12"/>
        <v>892620</v>
      </c>
      <c r="T420" s="32">
        <f t="shared" si="13"/>
        <v>0</v>
      </c>
    </row>
    <row r="421" spans="1:20" ht="14.4" x14ac:dyDescent="0.3">
      <c r="A421" s="44">
        <v>6</v>
      </c>
      <c r="B421" s="45" t="s">
        <v>575</v>
      </c>
      <c r="C421" s="46" t="s">
        <v>38</v>
      </c>
      <c r="D421" s="47" t="s">
        <v>576</v>
      </c>
      <c r="E421" s="48">
        <v>46204</v>
      </c>
      <c r="F421" s="49">
        <v>3597</v>
      </c>
      <c r="G421" s="45" t="s">
        <v>54</v>
      </c>
      <c r="H421" s="50">
        <v>6630</v>
      </c>
      <c r="I421" s="49">
        <f>Sirup[[#This Row],[qtySaldoAwalSem1]]*Sirup[[#This Row],[hargaSatuan]]</f>
        <v>23848110</v>
      </c>
      <c r="J421" s="50">
        <v>0</v>
      </c>
      <c r="K421" s="51">
        <f>Sirup[[#This Row],[qtyTerima2025]]*Sirup[[#This Row],[hargaSatuan]]</f>
        <v>0</v>
      </c>
      <c r="L421" s="50">
        <v>5230</v>
      </c>
      <c r="M421" s="51">
        <f>Sirup[[#This Row],[qtyDist2025]]*Sirup[[#This Row],[hargaSatuan]]</f>
        <v>18812310</v>
      </c>
      <c r="N421" s="50">
        <v>0</v>
      </c>
      <c r="O421" s="51">
        <f>Sirup[[#This Row],[qtyEd2025]]*Sirup[[#This Row],[hargaSatuan]]</f>
        <v>0</v>
      </c>
      <c r="P421" s="50">
        <v>1400</v>
      </c>
      <c r="Q421" s="52">
        <f>Sirup[[#This Row],[qtySaldoAkhir2025]]*Sirup[[#This Row],[hargaSatuan]]</f>
        <v>5035800</v>
      </c>
      <c r="S421" s="32">
        <f t="shared" si="12"/>
        <v>5035800</v>
      </c>
      <c r="T421" s="32">
        <f t="shared" si="13"/>
        <v>0</v>
      </c>
    </row>
    <row r="422" spans="1:20" ht="14.4" x14ac:dyDescent="0.3">
      <c r="A422" s="44">
        <v>7</v>
      </c>
      <c r="B422" s="45" t="s">
        <v>577</v>
      </c>
      <c r="C422" s="46" t="s">
        <v>38</v>
      </c>
      <c r="D422" s="47" t="s">
        <v>578</v>
      </c>
      <c r="E422" s="48">
        <v>46995</v>
      </c>
      <c r="F422" s="49">
        <v>9200</v>
      </c>
      <c r="G422" s="45" t="s">
        <v>18</v>
      </c>
      <c r="H422" s="50">
        <v>0</v>
      </c>
      <c r="I422" s="49">
        <f>Sirup[[#This Row],[qtySaldoAwalSem1]]*Sirup[[#This Row],[hargaSatuan]]</f>
        <v>0</v>
      </c>
      <c r="J422" s="50">
        <v>660</v>
      </c>
      <c r="K422" s="51">
        <f>Sirup[[#This Row],[qtyTerima2025]]*Sirup[[#This Row],[hargaSatuan]]</f>
        <v>6072000</v>
      </c>
      <c r="L422" s="50">
        <v>660</v>
      </c>
      <c r="M422" s="51">
        <f>Sirup[[#This Row],[qtyDist2025]]*Sirup[[#This Row],[hargaSatuan]]</f>
        <v>6072000</v>
      </c>
      <c r="N422" s="50">
        <v>0</v>
      </c>
      <c r="O422" s="51">
        <f>Sirup[[#This Row],[qtyEd2025]]*Sirup[[#This Row],[hargaSatuan]]</f>
        <v>0</v>
      </c>
      <c r="P422" s="50">
        <v>0</v>
      </c>
      <c r="Q422" s="52">
        <f>Sirup[[#This Row],[qtySaldoAkhir2025]]*Sirup[[#This Row],[hargaSatuan]]</f>
        <v>0</v>
      </c>
      <c r="S422" s="32">
        <f t="shared" si="12"/>
        <v>0</v>
      </c>
      <c r="T422" s="32">
        <f t="shared" si="13"/>
        <v>0</v>
      </c>
    </row>
    <row r="423" spans="1:20" ht="14.4" x14ac:dyDescent="0.3">
      <c r="A423" s="44">
        <v>8</v>
      </c>
      <c r="B423" s="45" t="s">
        <v>579</v>
      </c>
      <c r="C423" s="46" t="s">
        <v>38</v>
      </c>
      <c r="D423" s="47" t="s">
        <v>580</v>
      </c>
      <c r="E423" s="48">
        <v>0</v>
      </c>
      <c r="F423" s="49">
        <v>8893.3198499999999</v>
      </c>
      <c r="G423" s="45" t="s">
        <v>18</v>
      </c>
      <c r="H423" s="50">
        <v>0</v>
      </c>
      <c r="I423" s="49">
        <f>Sirup[[#This Row],[qtySaldoAwalSem1]]*Sirup[[#This Row],[hargaSatuan]]</f>
        <v>0</v>
      </c>
      <c r="J423" s="50">
        <v>270</v>
      </c>
      <c r="K423" s="51">
        <f>Sirup[[#This Row],[qtyTerima2025]]*Sirup[[#This Row],[hargaSatuan]]</f>
        <v>2401196.3594999998</v>
      </c>
      <c r="L423" s="50">
        <v>270</v>
      </c>
      <c r="M423" s="51">
        <f>Sirup[[#This Row],[qtyDist2025]]*Sirup[[#This Row],[hargaSatuan]]</f>
        <v>2401196.3594999998</v>
      </c>
      <c r="N423" s="50">
        <v>0</v>
      </c>
      <c r="O423" s="51">
        <f>Sirup[[#This Row],[qtyEd2025]]*Sirup[[#This Row],[hargaSatuan]]</f>
        <v>0</v>
      </c>
      <c r="P423" s="50">
        <v>0</v>
      </c>
      <c r="Q423" s="52">
        <f>Sirup[[#This Row],[qtySaldoAkhir2025]]*Sirup[[#This Row],[hargaSatuan]]</f>
        <v>0</v>
      </c>
      <c r="S423" s="32">
        <f t="shared" si="12"/>
        <v>0</v>
      </c>
      <c r="T423" s="32">
        <f t="shared" si="13"/>
        <v>0</v>
      </c>
    </row>
    <row r="424" spans="1:20" ht="14.4" x14ac:dyDescent="0.3">
      <c r="A424" s="44">
        <v>9</v>
      </c>
      <c r="B424" s="45" t="s">
        <v>579</v>
      </c>
      <c r="C424" s="46" t="s">
        <v>38</v>
      </c>
      <c r="D424" s="47" t="s">
        <v>581</v>
      </c>
      <c r="E424" s="48">
        <v>0</v>
      </c>
      <c r="F424" s="49">
        <v>8893.3198499999999</v>
      </c>
      <c r="G424" s="45" t="s">
        <v>18</v>
      </c>
      <c r="H424" s="50">
        <v>0</v>
      </c>
      <c r="I424" s="49">
        <f>Sirup[[#This Row],[qtySaldoAwalSem1]]*Sirup[[#This Row],[hargaSatuan]]</f>
        <v>0</v>
      </c>
      <c r="J424" s="50">
        <v>400</v>
      </c>
      <c r="K424" s="51">
        <f>Sirup[[#This Row],[qtyTerima2025]]*Sirup[[#This Row],[hargaSatuan]]</f>
        <v>3557327.94</v>
      </c>
      <c r="L424" s="50">
        <v>400</v>
      </c>
      <c r="M424" s="51">
        <f>Sirup[[#This Row],[qtyDist2025]]*Sirup[[#This Row],[hargaSatuan]]</f>
        <v>3557327.94</v>
      </c>
      <c r="N424" s="50">
        <v>0</v>
      </c>
      <c r="O424" s="51">
        <f>Sirup[[#This Row],[qtyEd2025]]*Sirup[[#This Row],[hargaSatuan]]</f>
        <v>0</v>
      </c>
      <c r="P424" s="50">
        <v>0</v>
      </c>
      <c r="Q424" s="52">
        <f>Sirup[[#This Row],[qtySaldoAkhir2025]]*Sirup[[#This Row],[hargaSatuan]]</f>
        <v>0</v>
      </c>
      <c r="S424" s="32">
        <f t="shared" si="12"/>
        <v>0</v>
      </c>
      <c r="T424" s="32">
        <f t="shared" si="13"/>
        <v>0</v>
      </c>
    </row>
    <row r="425" spans="1:20" ht="14.4" x14ac:dyDescent="0.3">
      <c r="A425" s="44">
        <v>10</v>
      </c>
      <c r="B425" s="45" t="s">
        <v>579</v>
      </c>
      <c r="C425" s="46" t="s">
        <v>38</v>
      </c>
      <c r="D425" s="47" t="s">
        <v>582</v>
      </c>
      <c r="E425" s="48">
        <v>0</v>
      </c>
      <c r="F425" s="49">
        <v>8893.3198499999999</v>
      </c>
      <c r="G425" s="45" t="s">
        <v>18</v>
      </c>
      <c r="H425" s="50">
        <v>0</v>
      </c>
      <c r="I425" s="49">
        <f>Sirup[[#This Row],[qtySaldoAwalSem1]]*Sirup[[#This Row],[hargaSatuan]]</f>
        <v>0</v>
      </c>
      <c r="J425" s="50">
        <v>2000</v>
      </c>
      <c r="K425" s="51">
        <f>Sirup[[#This Row],[qtyTerima2025]]*Sirup[[#This Row],[hargaSatuan]]</f>
        <v>17786639.699999999</v>
      </c>
      <c r="L425" s="50">
        <v>310</v>
      </c>
      <c r="M425" s="51">
        <f>Sirup[[#This Row],[qtyDist2025]]*Sirup[[#This Row],[hargaSatuan]]</f>
        <v>2756929.1535</v>
      </c>
      <c r="N425" s="50">
        <v>0</v>
      </c>
      <c r="O425" s="51">
        <f>Sirup[[#This Row],[qtyEd2025]]*Sirup[[#This Row],[hargaSatuan]]</f>
        <v>0</v>
      </c>
      <c r="P425" s="50">
        <v>1690</v>
      </c>
      <c r="Q425" s="52">
        <f>Sirup[[#This Row],[qtySaldoAkhir2025]]*Sirup[[#This Row],[hargaSatuan]]</f>
        <v>15029710.546499999</v>
      </c>
      <c r="S425" s="32">
        <f t="shared" si="12"/>
        <v>15029710.546499999</v>
      </c>
      <c r="T425" s="32">
        <f t="shared" si="13"/>
        <v>0</v>
      </c>
    </row>
    <row r="426" spans="1:20" ht="14.4" x14ac:dyDescent="0.3">
      <c r="A426" s="44">
        <v>11</v>
      </c>
      <c r="B426" s="45" t="s">
        <v>583</v>
      </c>
      <c r="C426" s="46" t="s">
        <v>38</v>
      </c>
      <c r="D426" s="47">
        <v>721000120</v>
      </c>
      <c r="E426" s="48">
        <v>45962</v>
      </c>
      <c r="F426" s="49">
        <v>13221</v>
      </c>
      <c r="G426" s="45" t="s">
        <v>43</v>
      </c>
      <c r="H426" s="50">
        <v>360</v>
      </c>
      <c r="I426" s="49">
        <f>Sirup[[#This Row],[qtySaldoAwalSem1]]*Sirup[[#This Row],[hargaSatuan]]</f>
        <v>4759560</v>
      </c>
      <c r="J426" s="50">
        <v>0</v>
      </c>
      <c r="K426" s="51">
        <f>Sirup[[#This Row],[qtyTerima2025]]*Sirup[[#This Row],[hargaSatuan]]</f>
        <v>0</v>
      </c>
      <c r="L426" s="50">
        <v>0</v>
      </c>
      <c r="M426" s="51">
        <f>Sirup[[#This Row],[qtyDist2025]]*Sirup[[#This Row],[hargaSatuan]]</f>
        <v>0</v>
      </c>
      <c r="N426" s="50">
        <v>360</v>
      </c>
      <c r="O426" s="51">
        <f>Sirup[[#This Row],[qtyEd2025]]*Sirup[[#This Row],[hargaSatuan]]</f>
        <v>4759560</v>
      </c>
      <c r="P426" s="50">
        <v>0</v>
      </c>
      <c r="Q426" s="52">
        <f>Sirup[[#This Row],[qtySaldoAkhir2025]]*Sirup[[#This Row],[hargaSatuan]]</f>
        <v>0</v>
      </c>
      <c r="S426" s="32">
        <f t="shared" si="12"/>
        <v>0</v>
      </c>
      <c r="T426" s="32">
        <f t="shared" si="13"/>
        <v>0</v>
      </c>
    </row>
    <row r="427" spans="1:20" ht="14.4" x14ac:dyDescent="0.3">
      <c r="A427" s="44">
        <v>12</v>
      </c>
      <c r="B427" s="45" t="s">
        <v>584</v>
      </c>
      <c r="C427" s="46" t="s">
        <v>38</v>
      </c>
      <c r="D427" s="47">
        <v>2403019</v>
      </c>
      <c r="E427" s="48">
        <v>46447</v>
      </c>
      <c r="F427" s="49">
        <v>4700</v>
      </c>
      <c r="G427" s="45" t="s">
        <v>54</v>
      </c>
      <c r="H427" s="50">
        <v>1330</v>
      </c>
      <c r="I427" s="49">
        <f>Sirup[[#This Row],[qtySaldoAwalSem1]]*Sirup[[#This Row],[hargaSatuan]]</f>
        <v>6251000</v>
      </c>
      <c r="J427" s="50">
        <v>0</v>
      </c>
      <c r="K427" s="51">
        <f>Sirup[[#This Row],[qtyTerima2025]]*Sirup[[#This Row],[hargaSatuan]]</f>
        <v>0</v>
      </c>
      <c r="L427" s="50">
        <v>1330</v>
      </c>
      <c r="M427" s="51">
        <f>Sirup[[#This Row],[qtyDist2025]]*Sirup[[#This Row],[hargaSatuan]]</f>
        <v>6251000</v>
      </c>
      <c r="N427" s="50">
        <v>0</v>
      </c>
      <c r="O427" s="51">
        <f>Sirup[[#This Row],[qtyEd2025]]*Sirup[[#This Row],[hargaSatuan]]</f>
        <v>0</v>
      </c>
      <c r="P427" s="50">
        <v>0</v>
      </c>
      <c r="Q427" s="52">
        <f>Sirup[[#This Row],[qtySaldoAkhir2025]]*Sirup[[#This Row],[hargaSatuan]]</f>
        <v>0</v>
      </c>
      <c r="S427" s="32">
        <f t="shared" si="12"/>
        <v>0</v>
      </c>
      <c r="T427" s="32">
        <f t="shared" si="13"/>
        <v>0</v>
      </c>
    </row>
    <row r="428" spans="1:20" ht="14.4" x14ac:dyDescent="0.3">
      <c r="A428" s="44">
        <v>13</v>
      </c>
      <c r="B428" s="45" t="s">
        <v>584</v>
      </c>
      <c r="C428" s="46" t="s">
        <v>38</v>
      </c>
      <c r="D428" s="47">
        <v>2506035</v>
      </c>
      <c r="E428" s="48">
        <v>46905</v>
      </c>
      <c r="F428" s="49">
        <v>5099</v>
      </c>
      <c r="G428" s="45" t="s">
        <v>18</v>
      </c>
      <c r="H428" s="50">
        <v>0</v>
      </c>
      <c r="I428" s="49">
        <f>Sirup[[#This Row],[qtySaldoAwalSem1]]*Sirup[[#This Row],[hargaSatuan]]</f>
        <v>0</v>
      </c>
      <c r="J428" s="50">
        <v>1100</v>
      </c>
      <c r="K428" s="51">
        <f>Sirup[[#This Row],[qtyTerima2025]]*Sirup[[#This Row],[hargaSatuan]]</f>
        <v>5608900</v>
      </c>
      <c r="L428" s="50">
        <v>1100</v>
      </c>
      <c r="M428" s="51">
        <f>Sirup[[#This Row],[qtyDist2025]]*Sirup[[#This Row],[hargaSatuan]]</f>
        <v>5608900</v>
      </c>
      <c r="N428" s="50">
        <v>0</v>
      </c>
      <c r="O428" s="51">
        <f>Sirup[[#This Row],[qtyEd2025]]*Sirup[[#This Row],[hargaSatuan]]</f>
        <v>0</v>
      </c>
      <c r="P428" s="50">
        <v>0</v>
      </c>
      <c r="Q428" s="52">
        <f>Sirup[[#This Row],[qtySaldoAkhir2025]]*Sirup[[#This Row],[hargaSatuan]]</f>
        <v>0</v>
      </c>
      <c r="S428" s="32">
        <f t="shared" si="12"/>
        <v>0</v>
      </c>
      <c r="T428" s="32">
        <f t="shared" si="13"/>
        <v>0</v>
      </c>
    </row>
    <row r="429" spans="1:20" ht="14.4" x14ac:dyDescent="0.3">
      <c r="A429" s="44">
        <v>14</v>
      </c>
      <c r="B429" s="45" t="s">
        <v>585</v>
      </c>
      <c r="C429" s="46" t="s">
        <v>38</v>
      </c>
      <c r="D429" s="47">
        <v>2308031</v>
      </c>
      <c r="E429" s="48">
        <v>45870</v>
      </c>
      <c r="F429" s="49">
        <v>7800</v>
      </c>
      <c r="G429" s="45" t="s">
        <v>43</v>
      </c>
      <c r="H429" s="50">
        <v>110</v>
      </c>
      <c r="I429" s="49">
        <f>Sirup[[#This Row],[qtySaldoAwalSem1]]*Sirup[[#This Row],[hargaSatuan]]</f>
        <v>858000</v>
      </c>
      <c r="J429" s="50">
        <v>0</v>
      </c>
      <c r="K429" s="51">
        <f>Sirup[[#This Row],[qtyTerima2025]]*Sirup[[#This Row],[hargaSatuan]]</f>
        <v>0</v>
      </c>
      <c r="L429" s="50">
        <v>110</v>
      </c>
      <c r="M429" s="51">
        <f>Sirup[[#This Row],[qtyDist2025]]*Sirup[[#This Row],[hargaSatuan]]</f>
        <v>858000</v>
      </c>
      <c r="N429" s="50">
        <v>0</v>
      </c>
      <c r="O429" s="51">
        <f>Sirup[[#This Row],[qtyEd2025]]*Sirup[[#This Row],[hargaSatuan]]</f>
        <v>0</v>
      </c>
      <c r="P429" s="50">
        <v>0</v>
      </c>
      <c r="Q429" s="52">
        <f>Sirup[[#This Row],[qtySaldoAkhir2025]]*Sirup[[#This Row],[hargaSatuan]]</f>
        <v>0</v>
      </c>
      <c r="S429" s="32">
        <f t="shared" si="12"/>
        <v>0</v>
      </c>
      <c r="T429" s="32">
        <f t="shared" si="13"/>
        <v>0</v>
      </c>
    </row>
    <row r="430" spans="1:20" ht="14.4" x14ac:dyDescent="0.3">
      <c r="A430" s="44">
        <v>15</v>
      </c>
      <c r="B430" s="45" t="s">
        <v>585</v>
      </c>
      <c r="C430" s="46" t="s">
        <v>38</v>
      </c>
      <c r="D430" s="47">
        <v>2408057</v>
      </c>
      <c r="E430" s="48">
        <v>46600</v>
      </c>
      <c r="F430" s="49">
        <v>7621</v>
      </c>
      <c r="G430" s="45" t="s">
        <v>18</v>
      </c>
      <c r="H430" s="50">
        <v>0</v>
      </c>
      <c r="I430" s="49">
        <f>Sirup[[#This Row],[qtySaldoAwalSem1]]*Sirup[[#This Row],[hargaSatuan]]</f>
        <v>0</v>
      </c>
      <c r="J430" s="50">
        <v>309</v>
      </c>
      <c r="K430" s="51">
        <f>Sirup[[#This Row],[qtyTerima2025]]*Sirup[[#This Row],[hargaSatuan]]</f>
        <v>2354889</v>
      </c>
      <c r="L430" s="50">
        <v>309</v>
      </c>
      <c r="M430" s="51">
        <f>Sirup[[#This Row],[qtyDist2025]]*Sirup[[#This Row],[hargaSatuan]]</f>
        <v>2354889</v>
      </c>
      <c r="N430" s="50">
        <v>0</v>
      </c>
      <c r="O430" s="51">
        <f>Sirup[[#This Row],[qtyEd2025]]*Sirup[[#This Row],[hargaSatuan]]</f>
        <v>0</v>
      </c>
      <c r="P430" s="50">
        <v>0</v>
      </c>
      <c r="Q430" s="52">
        <f>Sirup[[#This Row],[qtySaldoAkhir2025]]*Sirup[[#This Row],[hargaSatuan]]</f>
        <v>0</v>
      </c>
      <c r="S430" s="32">
        <f t="shared" si="12"/>
        <v>0</v>
      </c>
      <c r="T430" s="32">
        <f t="shared" si="13"/>
        <v>0</v>
      </c>
    </row>
    <row r="431" spans="1:20" ht="14.4" x14ac:dyDescent="0.3">
      <c r="A431" s="44">
        <v>16</v>
      </c>
      <c r="B431" s="45" t="s">
        <v>585</v>
      </c>
      <c r="C431" s="46" t="s">
        <v>38</v>
      </c>
      <c r="D431" s="47">
        <v>2408058</v>
      </c>
      <c r="E431" s="48">
        <v>46600</v>
      </c>
      <c r="F431" s="49">
        <v>7621</v>
      </c>
      <c r="G431" s="45" t="s">
        <v>18</v>
      </c>
      <c r="H431" s="50">
        <v>0</v>
      </c>
      <c r="I431" s="49">
        <f>Sirup[[#This Row],[qtySaldoAwalSem1]]*Sirup[[#This Row],[hargaSatuan]]</f>
        <v>0</v>
      </c>
      <c r="J431" s="50">
        <v>661</v>
      </c>
      <c r="K431" s="51">
        <f>Sirup[[#This Row],[qtyTerima2025]]*Sirup[[#This Row],[hargaSatuan]]</f>
        <v>5037481</v>
      </c>
      <c r="L431" s="50">
        <v>661</v>
      </c>
      <c r="M431" s="51">
        <f>Sirup[[#This Row],[qtyDist2025]]*Sirup[[#This Row],[hargaSatuan]]</f>
        <v>5037481</v>
      </c>
      <c r="N431" s="50">
        <v>0</v>
      </c>
      <c r="O431" s="51">
        <f>Sirup[[#This Row],[qtyEd2025]]*Sirup[[#This Row],[hargaSatuan]]</f>
        <v>0</v>
      </c>
      <c r="P431" s="50">
        <v>0</v>
      </c>
      <c r="Q431" s="52">
        <f>Sirup[[#This Row],[qtySaldoAkhir2025]]*Sirup[[#This Row],[hargaSatuan]]</f>
        <v>0</v>
      </c>
      <c r="S431" s="32">
        <f t="shared" si="12"/>
        <v>0</v>
      </c>
      <c r="T431" s="32">
        <f t="shared" si="13"/>
        <v>0</v>
      </c>
    </row>
    <row r="432" spans="1:20" ht="14.4" x14ac:dyDescent="0.3">
      <c r="A432" s="44">
        <v>17</v>
      </c>
      <c r="B432" s="45" t="s">
        <v>585</v>
      </c>
      <c r="C432" s="46" t="s">
        <v>38</v>
      </c>
      <c r="D432" s="47">
        <v>2409085</v>
      </c>
      <c r="E432" s="48">
        <v>46631</v>
      </c>
      <c r="F432" s="49">
        <v>7621</v>
      </c>
      <c r="G432" s="45" t="s">
        <v>18</v>
      </c>
      <c r="H432" s="50">
        <v>0</v>
      </c>
      <c r="I432" s="49">
        <f>Sirup[[#This Row],[qtySaldoAwalSem1]]*Sirup[[#This Row],[hargaSatuan]]</f>
        <v>0</v>
      </c>
      <c r="J432" s="50">
        <v>330</v>
      </c>
      <c r="K432" s="51">
        <f>Sirup[[#This Row],[qtyTerima2025]]*Sirup[[#This Row],[hargaSatuan]]</f>
        <v>2514930</v>
      </c>
      <c r="L432" s="50">
        <v>330</v>
      </c>
      <c r="M432" s="51">
        <f>Sirup[[#This Row],[qtyDist2025]]*Sirup[[#This Row],[hargaSatuan]]</f>
        <v>2514930</v>
      </c>
      <c r="N432" s="50">
        <v>0</v>
      </c>
      <c r="O432" s="51">
        <f>Sirup[[#This Row],[qtyEd2025]]*Sirup[[#This Row],[hargaSatuan]]</f>
        <v>0</v>
      </c>
      <c r="P432" s="50">
        <v>0</v>
      </c>
      <c r="Q432" s="52">
        <f>Sirup[[#This Row],[qtySaldoAkhir2025]]*Sirup[[#This Row],[hargaSatuan]]</f>
        <v>0</v>
      </c>
      <c r="S432" s="32">
        <f t="shared" si="12"/>
        <v>0</v>
      </c>
      <c r="T432" s="32">
        <f t="shared" si="13"/>
        <v>0</v>
      </c>
    </row>
    <row r="433" spans="1:21" ht="14.4" x14ac:dyDescent="0.3">
      <c r="A433" s="44">
        <v>18</v>
      </c>
      <c r="B433" s="45" t="s">
        <v>586</v>
      </c>
      <c r="C433" s="46" t="s">
        <v>38</v>
      </c>
      <c r="D433" s="47">
        <v>30331</v>
      </c>
      <c r="E433" s="48">
        <v>46692</v>
      </c>
      <c r="F433" s="49">
        <v>8442</v>
      </c>
      <c r="G433" s="45" t="s">
        <v>43</v>
      </c>
      <c r="H433" s="50">
        <v>192</v>
      </c>
      <c r="I433" s="49">
        <f>Sirup[[#This Row],[qtySaldoAwalSem1]]*Sirup[[#This Row],[hargaSatuan]]</f>
        <v>1620864</v>
      </c>
      <c r="J433" s="50">
        <v>0</v>
      </c>
      <c r="K433" s="51">
        <f>Sirup[[#This Row],[qtyTerima2025]]*Sirup[[#This Row],[hargaSatuan]]</f>
        <v>0</v>
      </c>
      <c r="L433" s="50">
        <v>0</v>
      </c>
      <c r="M433" s="51">
        <f>Sirup[[#This Row],[qtyDist2025]]*Sirup[[#This Row],[hargaSatuan]]</f>
        <v>0</v>
      </c>
      <c r="N433" s="50">
        <v>0</v>
      </c>
      <c r="O433" s="51">
        <f>Sirup[[#This Row],[qtyEd2025]]*Sirup[[#This Row],[hargaSatuan]]</f>
        <v>0</v>
      </c>
      <c r="P433" s="50">
        <v>192</v>
      </c>
      <c r="Q433" s="52">
        <f>Sirup[[#This Row],[qtySaldoAkhir2025]]*Sirup[[#This Row],[hargaSatuan]]</f>
        <v>1620864</v>
      </c>
      <c r="S433" s="32">
        <f t="shared" si="12"/>
        <v>1620864</v>
      </c>
      <c r="T433" s="32">
        <f t="shared" si="13"/>
        <v>0</v>
      </c>
    </row>
    <row r="434" spans="1:21" ht="14.4" x14ac:dyDescent="0.3">
      <c r="A434" s="44">
        <v>19</v>
      </c>
      <c r="B434" s="45" t="s">
        <v>586</v>
      </c>
      <c r="C434" s="46" t="s">
        <v>38</v>
      </c>
      <c r="D434" s="47">
        <v>33401410</v>
      </c>
      <c r="E434" s="48">
        <v>46296</v>
      </c>
      <c r="F434" s="49">
        <v>9430</v>
      </c>
      <c r="G434" s="45" t="s">
        <v>54</v>
      </c>
      <c r="H434" s="50">
        <v>1115</v>
      </c>
      <c r="I434" s="49">
        <f>Sirup[[#This Row],[qtySaldoAwalSem1]]*Sirup[[#This Row],[hargaSatuan]]</f>
        <v>10514450</v>
      </c>
      <c r="J434" s="50">
        <v>0</v>
      </c>
      <c r="K434" s="51">
        <f>Sirup[[#This Row],[qtyTerima2025]]*Sirup[[#This Row],[hargaSatuan]]</f>
        <v>0</v>
      </c>
      <c r="L434" s="50">
        <v>1030</v>
      </c>
      <c r="M434" s="51">
        <f>Sirup[[#This Row],[qtyDist2025]]*Sirup[[#This Row],[hargaSatuan]]</f>
        <v>9712900</v>
      </c>
      <c r="N434" s="50">
        <v>0</v>
      </c>
      <c r="O434" s="51">
        <f>Sirup[[#This Row],[qtyEd2025]]*Sirup[[#This Row],[hargaSatuan]]</f>
        <v>0</v>
      </c>
      <c r="P434" s="50">
        <v>85</v>
      </c>
      <c r="Q434" s="52">
        <f>Sirup[[#This Row],[qtySaldoAkhir2025]]*Sirup[[#This Row],[hargaSatuan]]</f>
        <v>801550</v>
      </c>
      <c r="S434" s="32">
        <f t="shared" si="12"/>
        <v>801550</v>
      </c>
      <c r="T434" s="32">
        <f t="shared" si="13"/>
        <v>0</v>
      </c>
    </row>
    <row r="435" spans="1:21" ht="14.4" x14ac:dyDescent="0.3">
      <c r="A435" s="44">
        <v>20</v>
      </c>
      <c r="B435" s="45" t="s">
        <v>587</v>
      </c>
      <c r="C435" s="46" t="s">
        <v>38</v>
      </c>
      <c r="D435" s="47">
        <v>2402011</v>
      </c>
      <c r="E435" s="48">
        <v>46419</v>
      </c>
      <c r="F435" s="49">
        <v>3850</v>
      </c>
      <c r="G435" s="45" t="s">
        <v>54</v>
      </c>
      <c r="H435" s="50">
        <v>665</v>
      </c>
      <c r="I435" s="49">
        <f>Sirup[[#This Row],[qtySaldoAwalSem1]]*Sirup[[#This Row],[hargaSatuan]]</f>
        <v>2560250</v>
      </c>
      <c r="J435" s="50">
        <v>0</v>
      </c>
      <c r="K435" s="51">
        <f>Sirup[[#This Row],[qtyTerima2025]]*Sirup[[#This Row],[hargaSatuan]]</f>
        <v>0</v>
      </c>
      <c r="L435" s="50">
        <v>665</v>
      </c>
      <c r="M435" s="51">
        <f>Sirup[[#This Row],[qtyDist2025]]*Sirup[[#This Row],[hargaSatuan]]</f>
        <v>2560250</v>
      </c>
      <c r="N435" s="50">
        <v>0</v>
      </c>
      <c r="O435" s="51">
        <f>Sirup[[#This Row],[qtyEd2025]]*Sirup[[#This Row],[hargaSatuan]]</f>
        <v>0</v>
      </c>
      <c r="P435" s="50">
        <v>0</v>
      </c>
      <c r="Q435" s="52">
        <f>Sirup[[#This Row],[qtySaldoAkhir2025]]*Sirup[[#This Row],[hargaSatuan]]</f>
        <v>0</v>
      </c>
      <c r="S435" s="32">
        <f t="shared" si="12"/>
        <v>0</v>
      </c>
      <c r="T435" s="32">
        <f t="shared" si="13"/>
        <v>0</v>
      </c>
    </row>
    <row r="436" spans="1:21" ht="14.4" x14ac:dyDescent="0.3">
      <c r="A436" s="44">
        <v>21</v>
      </c>
      <c r="B436" s="45" t="s">
        <v>588</v>
      </c>
      <c r="C436" s="46" t="s">
        <v>38</v>
      </c>
      <c r="D436" s="47">
        <v>4941722</v>
      </c>
      <c r="E436" s="48">
        <v>46266</v>
      </c>
      <c r="F436" s="49">
        <v>18912</v>
      </c>
      <c r="G436" s="45" t="s">
        <v>17</v>
      </c>
      <c r="H436" s="50">
        <v>10</v>
      </c>
      <c r="I436" s="49">
        <f>Sirup[[#This Row],[qtySaldoAwalSem1]]*Sirup[[#This Row],[hargaSatuan]]</f>
        <v>189120</v>
      </c>
      <c r="J436" s="50">
        <v>0</v>
      </c>
      <c r="K436" s="51">
        <f>Sirup[[#This Row],[qtyTerima2025]]*Sirup[[#This Row],[hargaSatuan]]</f>
        <v>0</v>
      </c>
      <c r="L436" s="50">
        <v>10</v>
      </c>
      <c r="M436" s="51">
        <f>Sirup[[#This Row],[qtyDist2025]]*Sirup[[#This Row],[hargaSatuan]]</f>
        <v>189120</v>
      </c>
      <c r="N436" s="50">
        <v>0</v>
      </c>
      <c r="O436" s="51">
        <f>Sirup[[#This Row],[qtyEd2025]]*Sirup[[#This Row],[hargaSatuan]]</f>
        <v>0</v>
      </c>
      <c r="P436" s="50">
        <v>0</v>
      </c>
      <c r="Q436" s="52">
        <f>Sirup[[#This Row],[qtySaldoAkhir2025]]*Sirup[[#This Row],[hargaSatuan]]</f>
        <v>0</v>
      </c>
      <c r="S436" s="32">
        <f t="shared" si="12"/>
        <v>0</v>
      </c>
      <c r="T436" s="32">
        <f t="shared" si="13"/>
        <v>0</v>
      </c>
    </row>
    <row r="437" spans="1:21" ht="14.4" x14ac:dyDescent="0.3">
      <c r="A437" s="44">
        <v>22</v>
      </c>
      <c r="B437" s="45" t="s">
        <v>588</v>
      </c>
      <c r="C437" s="46" t="s">
        <v>38</v>
      </c>
      <c r="D437" s="47" t="s">
        <v>589</v>
      </c>
      <c r="E437" s="48">
        <v>46530</v>
      </c>
      <c r="F437" s="49">
        <v>13695</v>
      </c>
      <c r="G437" s="45" t="s">
        <v>18</v>
      </c>
      <c r="H437" s="50">
        <v>0</v>
      </c>
      <c r="I437" s="49">
        <f>Sirup[[#This Row],[qtySaldoAwalSem1]]*Sirup[[#This Row],[hargaSatuan]]</f>
        <v>0</v>
      </c>
      <c r="J437" s="50">
        <v>850</v>
      </c>
      <c r="K437" s="51">
        <f>Sirup[[#This Row],[qtyTerima2025]]*Sirup[[#This Row],[hargaSatuan]]</f>
        <v>11640750</v>
      </c>
      <c r="L437" s="50">
        <v>718</v>
      </c>
      <c r="M437" s="51">
        <f>Sirup[[#This Row],[qtyDist2025]]*Sirup[[#This Row],[hargaSatuan]]</f>
        <v>9833010</v>
      </c>
      <c r="N437" s="50">
        <v>0</v>
      </c>
      <c r="O437" s="51">
        <f>Sirup[[#This Row],[qtyEd2025]]*Sirup[[#This Row],[hargaSatuan]]</f>
        <v>0</v>
      </c>
      <c r="P437" s="50">
        <v>132</v>
      </c>
      <c r="Q437" s="52">
        <f>Sirup[[#This Row],[qtySaldoAkhir2025]]*Sirup[[#This Row],[hargaSatuan]]</f>
        <v>1807740</v>
      </c>
      <c r="S437" s="32">
        <f t="shared" si="12"/>
        <v>1807740</v>
      </c>
      <c r="T437" s="32">
        <f t="shared" si="13"/>
        <v>0</v>
      </c>
    </row>
    <row r="438" spans="1:21" ht="14.4" x14ac:dyDescent="0.3">
      <c r="A438" s="44">
        <v>23</v>
      </c>
      <c r="B438" s="45" t="s">
        <v>590</v>
      </c>
      <c r="C438" s="46" t="s">
        <v>38</v>
      </c>
      <c r="D438" s="47" t="s">
        <v>591</v>
      </c>
      <c r="E438" s="48">
        <v>45778</v>
      </c>
      <c r="F438" s="49">
        <v>3835</v>
      </c>
      <c r="G438" s="45" t="s">
        <v>54</v>
      </c>
      <c r="H438" s="50">
        <v>398</v>
      </c>
      <c r="I438" s="49">
        <f>Sirup[[#This Row],[qtySaldoAwalSem1]]*Sirup[[#This Row],[hargaSatuan]]</f>
        <v>1526330</v>
      </c>
      <c r="J438" s="50">
        <v>0</v>
      </c>
      <c r="K438" s="51">
        <f>Sirup[[#This Row],[qtyTerima2025]]*Sirup[[#This Row],[hargaSatuan]]</f>
        <v>0</v>
      </c>
      <c r="L438" s="50">
        <v>10</v>
      </c>
      <c r="M438" s="51">
        <f>Sirup[[#This Row],[qtyDist2025]]*Sirup[[#This Row],[hargaSatuan]]</f>
        <v>38350</v>
      </c>
      <c r="N438" s="50">
        <v>388</v>
      </c>
      <c r="O438" s="51">
        <f>Sirup[[#This Row],[qtyEd2025]]*Sirup[[#This Row],[hargaSatuan]]</f>
        <v>1487980</v>
      </c>
      <c r="P438" s="50">
        <v>0</v>
      </c>
      <c r="Q438" s="52">
        <f>Sirup[[#This Row],[qtySaldoAkhir2025]]*Sirup[[#This Row],[hargaSatuan]]</f>
        <v>0</v>
      </c>
      <c r="S438" s="32">
        <f t="shared" si="12"/>
        <v>0</v>
      </c>
      <c r="T438" s="32">
        <f t="shared" si="13"/>
        <v>0</v>
      </c>
    </row>
    <row r="439" spans="1:21" ht="14.4" x14ac:dyDescent="0.3">
      <c r="A439" s="44">
        <v>24</v>
      </c>
      <c r="B439" s="45" t="s">
        <v>592</v>
      </c>
      <c r="C439" s="46" t="s">
        <v>38</v>
      </c>
      <c r="D439" s="47" t="s">
        <v>593</v>
      </c>
      <c r="E439" s="48">
        <v>46539</v>
      </c>
      <c r="F439" s="49">
        <f>12200+0.0000268368990285733</f>
        <v>12200.000026836899</v>
      </c>
      <c r="G439" s="45" t="s">
        <v>17</v>
      </c>
      <c r="H439" s="50">
        <v>2414</v>
      </c>
      <c r="I439" s="49">
        <f>Sirup[[#This Row],[qtySaldoAwalSem1]]*Sirup[[#This Row],[hargaSatuan]]</f>
        <v>29450800.064784274</v>
      </c>
      <c r="J439" s="50">
        <v>0</v>
      </c>
      <c r="K439" s="51">
        <f>Sirup[[#This Row],[qtyTerima2025]]*Sirup[[#This Row],[hargaSatuan]]</f>
        <v>0</v>
      </c>
      <c r="L439" s="50">
        <v>2414</v>
      </c>
      <c r="M439" s="51">
        <f>Sirup[[#This Row],[qtyDist2025]]*Sirup[[#This Row],[hargaSatuan]]</f>
        <v>29450800.064784274</v>
      </c>
      <c r="N439" s="50">
        <v>0</v>
      </c>
      <c r="O439" s="51">
        <f>Sirup[[#This Row],[qtyEd2025]]*Sirup[[#This Row],[hargaSatuan]]</f>
        <v>0</v>
      </c>
      <c r="P439" s="50">
        <v>0</v>
      </c>
      <c r="Q439" s="52">
        <f>Sirup[[#This Row],[qtySaldoAkhir2025]]*Sirup[[#This Row],[hargaSatuan]]</f>
        <v>0</v>
      </c>
      <c r="S439" s="32">
        <f t="shared" si="12"/>
        <v>0</v>
      </c>
      <c r="T439" s="32">
        <f t="shared" si="13"/>
        <v>0</v>
      </c>
      <c r="U439" s="3">
        <v>-89950779.985042602</v>
      </c>
    </row>
    <row r="440" spans="1:21" ht="14.4" x14ac:dyDescent="0.3">
      <c r="A440" s="44">
        <v>25</v>
      </c>
      <c r="B440" s="45" t="s">
        <v>592</v>
      </c>
      <c r="C440" s="46" t="s">
        <v>38</v>
      </c>
      <c r="D440" s="47" t="s">
        <v>594</v>
      </c>
      <c r="E440" s="48">
        <v>46569</v>
      </c>
      <c r="F440" s="49">
        <v>12200</v>
      </c>
      <c r="G440" s="45" t="s">
        <v>17</v>
      </c>
      <c r="H440" s="50">
        <v>1056</v>
      </c>
      <c r="I440" s="49">
        <f>Sirup[[#This Row],[qtySaldoAwalSem1]]*Sirup[[#This Row],[hargaSatuan]]</f>
        <v>12883200</v>
      </c>
      <c r="J440" s="50">
        <v>0</v>
      </c>
      <c r="K440" s="51">
        <f>Sirup[[#This Row],[qtyTerima2025]]*Sirup[[#This Row],[hargaSatuan]]</f>
        <v>0</v>
      </c>
      <c r="L440" s="50">
        <v>1056</v>
      </c>
      <c r="M440" s="51">
        <f>Sirup[[#This Row],[qtyDist2025]]*Sirup[[#This Row],[hargaSatuan]]</f>
        <v>12883200</v>
      </c>
      <c r="N440" s="50">
        <v>0</v>
      </c>
      <c r="O440" s="51">
        <f>Sirup[[#This Row],[qtyEd2025]]*Sirup[[#This Row],[hargaSatuan]]</f>
        <v>0</v>
      </c>
      <c r="P440" s="50">
        <v>0</v>
      </c>
      <c r="Q440" s="52">
        <f>Sirup[[#This Row],[qtySaldoAkhir2025]]*Sirup[[#This Row],[hargaSatuan]]</f>
        <v>0</v>
      </c>
      <c r="S440" s="32">
        <f t="shared" si="12"/>
        <v>0</v>
      </c>
      <c r="T440" s="32">
        <f t="shared" si="13"/>
        <v>0</v>
      </c>
    </row>
    <row r="441" spans="1:21" ht="14.4" x14ac:dyDescent="0.3">
      <c r="A441" s="44">
        <v>26</v>
      </c>
      <c r="B441" s="45" t="s">
        <v>595</v>
      </c>
      <c r="C441" s="46" t="s">
        <v>38</v>
      </c>
      <c r="D441" s="47" t="s">
        <v>596</v>
      </c>
      <c r="E441" s="48">
        <v>46054</v>
      </c>
      <c r="F441" s="49">
        <v>17973</v>
      </c>
      <c r="G441" s="45" t="s">
        <v>54</v>
      </c>
      <c r="H441" s="50">
        <v>240</v>
      </c>
      <c r="I441" s="49">
        <f>Sirup[[#This Row],[qtySaldoAwalSem1]]*Sirup[[#This Row],[hargaSatuan]]</f>
        <v>4313520</v>
      </c>
      <c r="J441" s="50">
        <v>0</v>
      </c>
      <c r="K441" s="51">
        <f>Sirup[[#This Row],[qtyTerima2025]]*Sirup[[#This Row],[hargaSatuan]]</f>
        <v>0</v>
      </c>
      <c r="L441" s="50">
        <v>240</v>
      </c>
      <c r="M441" s="51">
        <f>Sirup[[#This Row],[qtyDist2025]]*Sirup[[#This Row],[hargaSatuan]]</f>
        <v>4313520</v>
      </c>
      <c r="N441" s="50">
        <v>0</v>
      </c>
      <c r="O441" s="51">
        <f>Sirup[[#This Row],[qtyEd2025]]*Sirup[[#This Row],[hargaSatuan]]</f>
        <v>0</v>
      </c>
      <c r="P441" s="50">
        <v>0</v>
      </c>
      <c r="Q441" s="52">
        <f>Sirup[[#This Row],[qtySaldoAkhir2025]]*Sirup[[#This Row],[hargaSatuan]]</f>
        <v>0</v>
      </c>
      <c r="S441" s="32">
        <f t="shared" si="12"/>
        <v>0</v>
      </c>
      <c r="T441" s="32">
        <f t="shared" si="13"/>
        <v>0</v>
      </c>
    </row>
    <row r="442" spans="1:21" ht="14.4" x14ac:dyDescent="0.3">
      <c r="A442" s="44">
        <v>27</v>
      </c>
      <c r="B442" s="45" t="s">
        <v>595</v>
      </c>
      <c r="C442" s="46" t="s">
        <v>38</v>
      </c>
      <c r="D442" s="47" t="s">
        <v>597</v>
      </c>
      <c r="E442" s="48">
        <v>46508</v>
      </c>
      <c r="F442" s="49">
        <v>17972</v>
      </c>
      <c r="G442" s="45" t="s">
        <v>18</v>
      </c>
      <c r="H442" s="50">
        <v>0</v>
      </c>
      <c r="I442" s="49">
        <f>Sirup[[#This Row],[qtySaldoAwalSem1]]*Sirup[[#This Row],[hargaSatuan]]</f>
        <v>0</v>
      </c>
      <c r="J442" s="50">
        <v>190</v>
      </c>
      <c r="K442" s="51">
        <f>Sirup[[#This Row],[qtyTerima2025]]*Sirup[[#This Row],[hargaSatuan]]</f>
        <v>3414680</v>
      </c>
      <c r="L442" s="50">
        <v>190</v>
      </c>
      <c r="M442" s="51">
        <f>Sirup[[#This Row],[qtyDist2025]]*Sirup[[#This Row],[hargaSatuan]]</f>
        <v>3414680</v>
      </c>
      <c r="N442" s="50">
        <v>0</v>
      </c>
      <c r="O442" s="51">
        <f>Sirup[[#This Row],[qtyEd2025]]*Sirup[[#This Row],[hargaSatuan]]</f>
        <v>0</v>
      </c>
      <c r="P442" s="50">
        <v>0</v>
      </c>
      <c r="Q442" s="52">
        <f>Sirup[[#This Row],[qtySaldoAkhir2025]]*Sirup[[#This Row],[hargaSatuan]]</f>
        <v>0</v>
      </c>
      <c r="S442" s="32">
        <f t="shared" si="12"/>
        <v>0</v>
      </c>
      <c r="T442" s="32">
        <f t="shared" si="13"/>
        <v>0</v>
      </c>
      <c r="U442" s="84">
        <v>2.6836899028573299E-5</v>
      </c>
    </row>
    <row r="443" spans="1:21" ht="14.4" x14ac:dyDescent="0.3">
      <c r="A443" s="44">
        <v>28</v>
      </c>
      <c r="B443" s="45" t="s">
        <v>598</v>
      </c>
      <c r="C443" s="46" t="s">
        <v>38</v>
      </c>
      <c r="D443" s="47">
        <v>2311017</v>
      </c>
      <c r="E443" s="48">
        <v>46327</v>
      </c>
      <c r="F443" s="49">
        <v>9400</v>
      </c>
      <c r="G443" s="45" t="s">
        <v>43</v>
      </c>
      <c r="H443" s="50">
        <v>914</v>
      </c>
      <c r="I443" s="49">
        <f>Sirup[[#This Row],[qtySaldoAwalSem1]]*Sirup[[#This Row],[hargaSatuan]]</f>
        <v>8591600</v>
      </c>
      <c r="J443" s="50">
        <v>0</v>
      </c>
      <c r="K443" s="51">
        <f>Sirup[[#This Row],[qtyTerima2025]]*Sirup[[#This Row],[hargaSatuan]]</f>
        <v>0</v>
      </c>
      <c r="L443" s="50">
        <v>914</v>
      </c>
      <c r="M443" s="51">
        <f>Sirup[[#This Row],[qtyDist2025]]*Sirup[[#This Row],[hargaSatuan]]</f>
        <v>8591600</v>
      </c>
      <c r="N443" s="50">
        <v>0</v>
      </c>
      <c r="O443" s="51">
        <f>Sirup[[#This Row],[qtyEd2025]]*Sirup[[#This Row],[hargaSatuan]]</f>
        <v>0</v>
      </c>
      <c r="P443" s="50">
        <v>0</v>
      </c>
      <c r="Q443" s="52">
        <f>Sirup[[#This Row],[qtySaldoAkhir2025]]*Sirup[[#This Row],[hargaSatuan]]</f>
        <v>0</v>
      </c>
      <c r="S443" s="32">
        <f t="shared" si="12"/>
        <v>0</v>
      </c>
      <c r="T443" s="32">
        <f t="shared" si="13"/>
        <v>0</v>
      </c>
    </row>
    <row r="444" spans="1:21" ht="28.8" x14ac:dyDescent="0.3">
      <c r="A444" s="44">
        <v>29</v>
      </c>
      <c r="B444" s="45" t="s">
        <v>599</v>
      </c>
      <c r="C444" s="46" t="s">
        <v>38</v>
      </c>
      <c r="D444" s="47" t="s">
        <v>600</v>
      </c>
      <c r="E444" s="48">
        <v>45962</v>
      </c>
      <c r="F444" s="49">
        <v>12210</v>
      </c>
      <c r="G444" s="45" t="s">
        <v>43</v>
      </c>
      <c r="H444" s="50">
        <v>25</v>
      </c>
      <c r="I444" s="49">
        <f>Sirup[[#This Row],[qtySaldoAwalSem1]]*Sirup[[#This Row],[hargaSatuan]]</f>
        <v>305250</v>
      </c>
      <c r="J444" s="50">
        <v>0</v>
      </c>
      <c r="K444" s="51">
        <f>Sirup[[#This Row],[qtyTerima2025]]*Sirup[[#This Row],[hargaSatuan]]</f>
        <v>0</v>
      </c>
      <c r="L444" s="50">
        <v>25</v>
      </c>
      <c r="M444" s="51">
        <f>Sirup[[#This Row],[qtyDist2025]]*Sirup[[#This Row],[hargaSatuan]]</f>
        <v>305250</v>
      </c>
      <c r="N444" s="50">
        <v>0</v>
      </c>
      <c r="O444" s="51">
        <f>Sirup[[#This Row],[qtyEd2025]]*Sirup[[#This Row],[hargaSatuan]]</f>
        <v>0</v>
      </c>
      <c r="P444" s="50">
        <v>0</v>
      </c>
      <c r="Q444" s="52">
        <f>Sirup[[#This Row],[qtySaldoAkhir2025]]*Sirup[[#This Row],[hargaSatuan]]</f>
        <v>0</v>
      </c>
      <c r="S444" s="32">
        <f t="shared" si="12"/>
        <v>0</v>
      </c>
      <c r="T444" s="32">
        <f t="shared" si="13"/>
        <v>0</v>
      </c>
    </row>
    <row r="445" spans="1:21" ht="14.4" x14ac:dyDescent="0.3">
      <c r="A445" s="44">
        <v>30</v>
      </c>
      <c r="B445" s="45" t="s">
        <v>601</v>
      </c>
      <c r="C445" s="46" t="s">
        <v>349</v>
      </c>
      <c r="D445" s="47" t="s">
        <v>602</v>
      </c>
      <c r="E445" s="48">
        <v>47269</v>
      </c>
      <c r="F445" s="49">
        <v>17451.419999999998</v>
      </c>
      <c r="G445" s="45" t="s">
        <v>40</v>
      </c>
      <c r="H445" s="50">
        <v>0</v>
      </c>
      <c r="I445" s="49">
        <f>Sirup[[#This Row],[qtySaldoAwalSem1]]*Sirup[[#This Row],[hargaSatuan]]</f>
        <v>0</v>
      </c>
      <c r="J445" s="50">
        <v>1000</v>
      </c>
      <c r="K445" s="51">
        <f>Sirup[[#This Row],[qtyTerima2025]]*Sirup[[#This Row],[hargaSatuan]]</f>
        <v>17451420</v>
      </c>
      <c r="L445" s="50">
        <v>1000</v>
      </c>
      <c r="M445" s="51">
        <f>Sirup[[#This Row],[qtyDist2025]]*Sirup[[#This Row],[hargaSatuan]]</f>
        <v>17451420</v>
      </c>
      <c r="N445" s="50">
        <v>0</v>
      </c>
      <c r="O445" s="51">
        <f>Sirup[[#This Row],[qtyEd2025]]*Sirup[[#This Row],[hargaSatuan]]</f>
        <v>0</v>
      </c>
      <c r="P445" s="50">
        <v>0</v>
      </c>
      <c r="Q445" s="52">
        <f>Sirup[[#This Row],[qtySaldoAkhir2025]]*Sirup[[#This Row],[hargaSatuan]]</f>
        <v>0</v>
      </c>
      <c r="S445" s="32">
        <f t="shared" si="12"/>
        <v>0</v>
      </c>
      <c r="T445" s="32">
        <f t="shared" si="13"/>
        <v>0</v>
      </c>
    </row>
    <row r="446" spans="1:21" ht="14.4" x14ac:dyDescent="0.3">
      <c r="A446" s="44">
        <v>31</v>
      </c>
      <c r="B446" s="45" t="s">
        <v>603</v>
      </c>
      <c r="C446" s="46" t="s">
        <v>38</v>
      </c>
      <c r="D446" s="47">
        <v>40323</v>
      </c>
      <c r="E446" s="48">
        <v>46447</v>
      </c>
      <c r="F446" s="49">
        <v>6708</v>
      </c>
      <c r="G446" s="45" t="s">
        <v>54</v>
      </c>
      <c r="H446" s="50">
        <v>1800</v>
      </c>
      <c r="I446" s="49">
        <f>Sirup[[#This Row],[qtySaldoAwalSem1]]*Sirup[[#This Row],[hargaSatuan]]</f>
        <v>12074400</v>
      </c>
      <c r="J446" s="50">
        <v>0</v>
      </c>
      <c r="K446" s="51">
        <f>Sirup[[#This Row],[qtyTerima2025]]*Sirup[[#This Row],[hargaSatuan]]</f>
        <v>0</v>
      </c>
      <c r="L446" s="50">
        <v>1800</v>
      </c>
      <c r="M446" s="51">
        <f>Sirup[[#This Row],[qtyDist2025]]*Sirup[[#This Row],[hargaSatuan]]</f>
        <v>12074400</v>
      </c>
      <c r="N446" s="50">
        <v>0</v>
      </c>
      <c r="O446" s="51">
        <f>Sirup[[#This Row],[qtyEd2025]]*Sirup[[#This Row],[hargaSatuan]]</f>
        <v>0</v>
      </c>
      <c r="P446" s="50">
        <v>0</v>
      </c>
      <c r="Q446" s="52">
        <f>Sirup[[#This Row],[qtySaldoAkhir2025]]*Sirup[[#This Row],[hargaSatuan]]</f>
        <v>0</v>
      </c>
      <c r="S446" s="32">
        <f t="shared" si="12"/>
        <v>0</v>
      </c>
      <c r="T446" s="32">
        <f t="shared" si="13"/>
        <v>0</v>
      </c>
    </row>
    <row r="447" spans="1:21" ht="14.4" x14ac:dyDescent="0.3">
      <c r="A447" s="44">
        <v>32</v>
      </c>
      <c r="B447" s="45" t="s">
        <v>603</v>
      </c>
      <c r="C447" s="46" t="s">
        <v>38</v>
      </c>
      <c r="D447" s="47">
        <v>40228</v>
      </c>
      <c r="E447" s="48">
        <v>46235</v>
      </c>
      <c r="F447" s="49">
        <v>6708</v>
      </c>
      <c r="G447" s="45" t="s">
        <v>54</v>
      </c>
      <c r="H447" s="50">
        <v>175</v>
      </c>
      <c r="I447" s="49">
        <f>Sirup[[#This Row],[qtySaldoAwalSem1]]*Sirup[[#This Row],[hargaSatuan]]</f>
        <v>1173900</v>
      </c>
      <c r="J447" s="50">
        <v>0</v>
      </c>
      <c r="K447" s="51">
        <f>Sirup[[#This Row],[qtyTerima2025]]*Sirup[[#This Row],[hargaSatuan]]</f>
        <v>0</v>
      </c>
      <c r="L447" s="50">
        <v>175</v>
      </c>
      <c r="M447" s="51">
        <f>Sirup[[#This Row],[qtyDist2025]]*Sirup[[#This Row],[hargaSatuan]]</f>
        <v>1173900</v>
      </c>
      <c r="N447" s="50">
        <v>0</v>
      </c>
      <c r="O447" s="51">
        <f>Sirup[[#This Row],[qtyEd2025]]*Sirup[[#This Row],[hargaSatuan]]</f>
        <v>0</v>
      </c>
      <c r="P447" s="50">
        <v>0</v>
      </c>
      <c r="Q447" s="52">
        <f>Sirup[[#This Row],[qtySaldoAkhir2025]]*Sirup[[#This Row],[hargaSatuan]]</f>
        <v>0</v>
      </c>
      <c r="S447" s="32">
        <f t="shared" si="12"/>
        <v>0</v>
      </c>
      <c r="T447" s="32">
        <f t="shared" si="13"/>
        <v>0</v>
      </c>
    </row>
    <row r="448" spans="1:21" ht="14.4" x14ac:dyDescent="0.3">
      <c r="A448" s="44">
        <v>33</v>
      </c>
      <c r="B448" s="45" t="s">
        <v>603</v>
      </c>
      <c r="C448" s="46" t="s">
        <v>38</v>
      </c>
      <c r="D448" s="47" t="s">
        <v>604</v>
      </c>
      <c r="E448" s="48">
        <v>46508</v>
      </c>
      <c r="F448" s="49">
        <v>14750</v>
      </c>
      <c r="G448" s="45" t="s">
        <v>18</v>
      </c>
      <c r="H448" s="50">
        <v>0</v>
      </c>
      <c r="I448" s="49">
        <f>Sirup[[#This Row],[qtySaldoAwalSem1]]*Sirup[[#This Row],[hargaSatuan]]</f>
        <v>0</v>
      </c>
      <c r="J448" s="50">
        <v>650</v>
      </c>
      <c r="K448" s="51">
        <f>Sirup[[#This Row],[qtyTerima2025]]*Sirup[[#This Row],[hargaSatuan]]</f>
        <v>9587500</v>
      </c>
      <c r="L448" s="50">
        <v>650</v>
      </c>
      <c r="M448" s="51">
        <f>Sirup[[#This Row],[qtyDist2025]]*Sirup[[#This Row],[hargaSatuan]]</f>
        <v>9587500</v>
      </c>
      <c r="N448" s="50">
        <v>0</v>
      </c>
      <c r="O448" s="51">
        <f>Sirup[[#This Row],[qtyEd2025]]*Sirup[[#This Row],[hargaSatuan]]</f>
        <v>0</v>
      </c>
      <c r="P448" s="50">
        <v>0</v>
      </c>
      <c r="Q448" s="52">
        <f>Sirup[[#This Row],[qtySaldoAkhir2025]]*Sirup[[#This Row],[hargaSatuan]]</f>
        <v>0</v>
      </c>
      <c r="S448" s="32">
        <f t="shared" si="12"/>
        <v>0</v>
      </c>
      <c r="T448" s="32">
        <f t="shared" si="13"/>
        <v>0</v>
      </c>
    </row>
    <row r="449" spans="1:20" ht="14.4" x14ac:dyDescent="0.3">
      <c r="A449" s="44">
        <v>34</v>
      </c>
      <c r="B449" s="45" t="s">
        <v>603</v>
      </c>
      <c r="C449" s="46" t="s">
        <v>38</v>
      </c>
      <c r="D449" s="47" t="s">
        <v>605</v>
      </c>
      <c r="E449" s="48">
        <v>46508</v>
      </c>
      <c r="F449" s="49">
        <v>14750</v>
      </c>
      <c r="G449" s="45" t="s">
        <v>18</v>
      </c>
      <c r="H449" s="50">
        <v>0</v>
      </c>
      <c r="I449" s="49">
        <f>Sirup[[#This Row],[qtySaldoAwalSem1]]*Sirup[[#This Row],[hargaSatuan]]</f>
        <v>0</v>
      </c>
      <c r="J449" s="50">
        <v>3090</v>
      </c>
      <c r="K449" s="51">
        <f>Sirup[[#This Row],[qtyTerima2025]]*Sirup[[#This Row],[hargaSatuan]]</f>
        <v>45577500</v>
      </c>
      <c r="L449" s="50">
        <v>2790</v>
      </c>
      <c r="M449" s="51">
        <f>Sirup[[#This Row],[qtyDist2025]]*Sirup[[#This Row],[hargaSatuan]]</f>
        <v>41152500</v>
      </c>
      <c r="N449" s="50">
        <v>0</v>
      </c>
      <c r="O449" s="51">
        <f>Sirup[[#This Row],[qtyEd2025]]*Sirup[[#This Row],[hargaSatuan]]</f>
        <v>0</v>
      </c>
      <c r="P449" s="50">
        <v>300</v>
      </c>
      <c r="Q449" s="52">
        <f>Sirup[[#This Row],[qtySaldoAkhir2025]]*Sirup[[#This Row],[hargaSatuan]]</f>
        <v>4425000</v>
      </c>
      <c r="S449" s="32">
        <f t="shared" si="12"/>
        <v>4425000</v>
      </c>
      <c r="T449" s="32">
        <f t="shared" si="13"/>
        <v>0</v>
      </c>
    </row>
    <row r="450" spans="1:20" ht="14.4" x14ac:dyDescent="0.3">
      <c r="A450" s="44">
        <v>35</v>
      </c>
      <c r="B450" s="45" t="s">
        <v>606</v>
      </c>
      <c r="C450" s="46" t="s">
        <v>349</v>
      </c>
      <c r="D450" s="47" t="s">
        <v>607</v>
      </c>
      <c r="E450" s="48">
        <v>46507</v>
      </c>
      <c r="F450" s="49">
        <v>3847</v>
      </c>
      <c r="G450" s="45" t="s">
        <v>18</v>
      </c>
      <c r="H450" s="50">
        <v>0</v>
      </c>
      <c r="I450" s="49">
        <f>Sirup[[#This Row],[qtySaldoAwalSem1]]*Sirup[[#This Row],[hargaSatuan]]</f>
        <v>0</v>
      </c>
      <c r="J450" s="50">
        <v>170</v>
      </c>
      <c r="K450" s="51">
        <f>Sirup[[#This Row],[qtyTerima2025]]*Sirup[[#This Row],[hargaSatuan]]</f>
        <v>653990</v>
      </c>
      <c r="L450" s="50">
        <v>170</v>
      </c>
      <c r="M450" s="51">
        <f>Sirup[[#This Row],[qtyDist2025]]*Sirup[[#This Row],[hargaSatuan]]</f>
        <v>653990</v>
      </c>
      <c r="N450" s="50">
        <v>0</v>
      </c>
      <c r="O450" s="51">
        <f>Sirup[[#This Row],[qtyEd2025]]*Sirup[[#This Row],[hargaSatuan]]</f>
        <v>0</v>
      </c>
      <c r="P450" s="50">
        <v>0</v>
      </c>
      <c r="Q450" s="52">
        <f>Sirup[[#This Row],[qtySaldoAkhir2025]]*Sirup[[#This Row],[hargaSatuan]]</f>
        <v>0</v>
      </c>
      <c r="S450" s="32">
        <f t="shared" si="12"/>
        <v>0</v>
      </c>
      <c r="T450" s="32">
        <f t="shared" si="13"/>
        <v>0</v>
      </c>
    </row>
    <row r="451" spans="1:20" ht="14.4" x14ac:dyDescent="0.3">
      <c r="A451" s="44">
        <v>36</v>
      </c>
      <c r="B451" s="45" t="s">
        <v>606</v>
      </c>
      <c r="C451" s="46" t="s">
        <v>349</v>
      </c>
      <c r="D451" s="47" t="s">
        <v>608</v>
      </c>
      <c r="E451" s="48">
        <v>46537</v>
      </c>
      <c r="F451" s="49">
        <v>3847</v>
      </c>
      <c r="G451" s="45" t="s">
        <v>18</v>
      </c>
      <c r="H451" s="50">
        <v>0</v>
      </c>
      <c r="I451" s="49">
        <f>Sirup[[#This Row],[qtySaldoAwalSem1]]*Sirup[[#This Row],[hargaSatuan]]</f>
        <v>0</v>
      </c>
      <c r="J451" s="50">
        <v>728</v>
      </c>
      <c r="K451" s="51">
        <f>Sirup[[#This Row],[qtyTerima2025]]*Sirup[[#This Row],[hargaSatuan]]</f>
        <v>2800616</v>
      </c>
      <c r="L451" s="50">
        <v>728</v>
      </c>
      <c r="M451" s="51">
        <f>Sirup[[#This Row],[qtyDist2025]]*Sirup[[#This Row],[hargaSatuan]]</f>
        <v>2800616</v>
      </c>
      <c r="N451" s="50">
        <v>0</v>
      </c>
      <c r="O451" s="51">
        <f>Sirup[[#This Row],[qtyEd2025]]*Sirup[[#This Row],[hargaSatuan]]</f>
        <v>0</v>
      </c>
      <c r="P451" s="50">
        <v>0</v>
      </c>
      <c r="Q451" s="52">
        <f>Sirup[[#This Row],[qtySaldoAkhir2025]]*Sirup[[#This Row],[hargaSatuan]]</f>
        <v>0</v>
      </c>
      <c r="S451" s="32">
        <f t="shared" si="12"/>
        <v>0</v>
      </c>
      <c r="T451" s="32">
        <f t="shared" si="13"/>
        <v>0</v>
      </c>
    </row>
    <row r="452" spans="1:20" ht="14.4" x14ac:dyDescent="0.3">
      <c r="A452" s="44">
        <v>37</v>
      </c>
      <c r="B452" s="45" t="s">
        <v>606</v>
      </c>
      <c r="C452" s="46" t="s">
        <v>349</v>
      </c>
      <c r="D452" s="47" t="s">
        <v>609</v>
      </c>
      <c r="E452" s="48">
        <v>46751</v>
      </c>
      <c r="F452" s="49">
        <v>3847</v>
      </c>
      <c r="G452" s="45" t="s">
        <v>18</v>
      </c>
      <c r="H452" s="50">
        <v>0</v>
      </c>
      <c r="I452" s="49">
        <f>Sirup[[#This Row],[qtySaldoAwalSem1]]*Sirup[[#This Row],[hargaSatuan]]</f>
        <v>0</v>
      </c>
      <c r="J452" s="50">
        <v>2162</v>
      </c>
      <c r="K452" s="51">
        <f>Sirup[[#This Row],[qtyTerima2025]]*Sirup[[#This Row],[hargaSatuan]]</f>
        <v>8317214</v>
      </c>
      <c r="L452" s="50">
        <v>2162</v>
      </c>
      <c r="M452" s="51">
        <f>Sirup[[#This Row],[qtyDist2025]]*Sirup[[#This Row],[hargaSatuan]]</f>
        <v>8317214</v>
      </c>
      <c r="N452" s="50">
        <v>0</v>
      </c>
      <c r="O452" s="51">
        <f>Sirup[[#This Row],[qtyEd2025]]*Sirup[[#This Row],[hargaSatuan]]</f>
        <v>0</v>
      </c>
      <c r="P452" s="50">
        <v>0</v>
      </c>
      <c r="Q452" s="52">
        <f>Sirup[[#This Row],[qtySaldoAkhir2025]]*Sirup[[#This Row],[hargaSatuan]]</f>
        <v>0</v>
      </c>
      <c r="S452" s="32">
        <f t="shared" si="12"/>
        <v>0</v>
      </c>
      <c r="T452" s="32">
        <f t="shared" si="13"/>
        <v>0</v>
      </c>
    </row>
    <row r="453" spans="1:20" ht="14.4" x14ac:dyDescent="0.3">
      <c r="A453" s="44">
        <v>38</v>
      </c>
      <c r="B453" s="45" t="s">
        <v>610</v>
      </c>
      <c r="C453" s="46" t="s">
        <v>38</v>
      </c>
      <c r="D453" s="47" t="s">
        <v>611</v>
      </c>
      <c r="E453" s="48">
        <v>46874</v>
      </c>
      <c r="F453" s="49">
        <v>4468</v>
      </c>
      <c r="G453" s="45" t="s">
        <v>54</v>
      </c>
      <c r="H453" s="50">
        <v>2714</v>
      </c>
      <c r="I453" s="49">
        <f>Sirup[[#This Row],[qtySaldoAwalSem1]]*Sirup[[#This Row],[hargaSatuan]]</f>
        <v>12126152</v>
      </c>
      <c r="J453" s="50">
        <v>0</v>
      </c>
      <c r="K453" s="51">
        <f>Sirup[[#This Row],[qtyTerima2025]]*Sirup[[#This Row],[hargaSatuan]]</f>
        <v>0</v>
      </c>
      <c r="L453" s="50">
        <v>2714</v>
      </c>
      <c r="M453" s="51">
        <f>Sirup[[#This Row],[qtyDist2025]]*Sirup[[#This Row],[hargaSatuan]]</f>
        <v>12126152</v>
      </c>
      <c r="N453" s="50">
        <v>0</v>
      </c>
      <c r="O453" s="51">
        <f>Sirup[[#This Row],[qtyEd2025]]*Sirup[[#This Row],[hargaSatuan]]</f>
        <v>0</v>
      </c>
      <c r="P453" s="50">
        <v>0</v>
      </c>
      <c r="Q453" s="52">
        <f>Sirup[[#This Row],[qtySaldoAkhir2025]]*Sirup[[#This Row],[hargaSatuan]]</f>
        <v>0</v>
      </c>
      <c r="S453" s="32">
        <f t="shared" si="12"/>
        <v>0</v>
      </c>
      <c r="T453" s="32">
        <f t="shared" si="13"/>
        <v>0</v>
      </c>
    </row>
    <row r="454" spans="1:20" ht="14.4" x14ac:dyDescent="0.3">
      <c r="A454" s="44">
        <v>39</v>
      </c>
      <c r="B454" s="45" t="s">
        <v>610</v>
      </c>
      <c r="C454" s="46" t="s">
        <v>38</v>
      </c>
      <c r="D454" s="47" t="s">
        <v>612</v>
      </c>
      <c r="E454" s="48">
        <v>46905</v>
      </c>
      <c r="F454" s="49">
        <v>4468</v>
      </c>
      <c r="G454" s="45" t="s">
        <v>54</v>
      </c>
      <c r="H454" s="50">
        <v>5000</v>
      </c>
      <c r="I454" s="49">
        <f>Sirup[[#This Row],[qtySaldoAwalSem1]]*Sirup[[#This Row],[hargaSatuan]]</f>
        <v>22340000</v>
      </c>
      <c r="J454" s="50">
        <v>0</v>
      </c>
      <c r="K454" s="51">
        <f>Sirup[[#This Row],[qtyTerima2025]]*Sirup[[#This Row],[hargaSatuan]]</f>
        <v>0</v>
      </c>
      <c r="L454" s="50">
        <v>5000</v>
      </c>
      <c r="M454" s="51">
        <f>Sirup[[#This Row],[qtyDist2025]]*Sirup[[#This Row],[hargaSatuan]]</f>
        <v>22340000</v>
      </c>
      <c r="N454" s="50">
        <v>0</v>
      </c>
      <c r="O454" s="51">
        <f>Sirup[[#This Row],[qtyEd2025]]*Sirup[[#This Row],[hargaSatuan]]</f>
        <v>0</v>
      </c>
      <c r="P454" s="50">
        <v>0</v>
      </c>
      <c r="Q454" s="52">
        <f>Sirup[[#This Row],[qtySaldoAkhir2025]]*Sirup[[#This Row],[hargaSatuan]]</f>
        <v>0</v>
      </c>
      <c r="S454" s="32">
        <f t="shared" si="12"/>
        <v>0</v>
      </c>
      <c r="T454" s="32">
        <f t="shared" si="13"/>
        <v>0</v>
      </c>
    </row>
    <row r="455" spans="1:20" ht="14.4" x14ac:dyDescent="0.3">
      <c r="A455" s="44">
        <v>40</v>
      </c>
      <c r="B455" s="45" t="s">
        <v>610</v>
      </c>
      <c r="C455" s="46" t="s">
        <v>38</v>
      </c>
      <c r="D455" s="47" t="s">
        <v>613</v>
      </c>
      <c r="E455" s="48">
        <v>46935</v>
      </c>
      <c r="F455" s="49">
        <v>4468</v>
      </c>
      <c r="G455" s="45" t="s">
        <v>54</v>
      </c>
      <c r="H455" s="50">
        <v>1086</v>
      </c>
      <c r="I455" s="49">
        <f>Sirup[[#This Row],[qtySaldoAwalSem1]]*Sirup[[#This Row],[hargaSatuan]]</f>
        <v>4852248</v>
      </c>
      <c r="J455" s="50">
        <v>0</v>
      </c>
      <c r="K455" s="51">
        <f>Sirup[[#This Row],[qtyTerima2025]]*Sirup[[#This Row],[hargaSatuan]]</f>
        <v>0</v>
      </c>
      <c r="L455" s="50">
        <v>586</v>
      </c>
      <c r="M455" s="51">
        <f>Sirup[[#This Row],[qtyDist2025]]*Sirup[[#This Row],[hargaSatuan]]</f>
        <v>2618248</v>
      </c>
      <c r="N455" s="50">
        <v>0</v>
      </c>
      <c r="O455" s="51">
        <f>Sirup[[#This Row],[qtyEd2025]]*Sirup[[#This Row],[hargaSatuan]]</f>
        <v>0</v>
      </c>
      <c r="P455" s="50">
        <v>500</v>
      </c>
      <c r="Q455" s="52">
        <f>Sirup[[#This Row],[qtySaldoAkhir2025]]*Sirup[[#This Row],[hargaSatuan]]</f>
        <v>2234000</v>
      </c>
      <c r="S455" s="32">
        <f t="shared" si="12"/>
        <v>2234000</v>
      </c>
      <c r="T455" s="32">
        <f t="shared" si="13"/>
        <v>0</v>
      </c>
    </row>
    <row r="456" spans="1:20" ht="14.4" x14ac:dyDescent="0.3">
      <c r="A456" s="44">
        <v>41</v>
      </c>
      <c r="B456" s="45" t="s">
        <v>614</v>
      </c>
      <c r="C456" s="46" t="s">
        <v>38</v>
      </c>
      <c r="D456" s="47">
        <v>2402030</v>
      </c>
      <c r="E456" s="48">
        <v>46054</v>
      </c>
      <c r="F456" s="49">
        <v>14300</v>
      </c>
      <c r="G456" s="45" t="s">
        <v>54</v>
      </c>
      <c r="H456" s="50">
        <v>2879</v>
      </c>
      <c r="I456" s="49">
        <f>Sirup[[#This Row],[qtySaldoAwalSem1]]*Sirup[[#This Row],[hargaSatuan]]</f>
        <v>41169700</v>
      </c>
      <c r="J456" s="50">
        <v>0</v>
      </c>
      <c r="K456" s="51">
        <f>Sirup[[#This Row],[qtyTerima2025]]*Sirup[[#This Row],[hargaSatuan]]</f>
        <v>0</v>
      </c>
      <c r="L456" s="50">
        <v>22</v>
      </c>
      <c r="M456" s="51">
        <f>Sirup[[#This Row],[qtyDist2025]]*Sirup[[#This Row],[hargaSatuan]]</f>
        <v>314600</v>
      </c>
      <c r="N456" s="50">
        <v>0</v>
      </c>
      <c r="O456" s="51">
        <f>Sirup[[#This Row],[qtyEd2025]]*Sirup[[#This Row],[hargaSatuan]]</f>
        <v>0</v>
      </c>
      <c r="P456" s="50">
        <v>2857</v>
      </c>
      <c r="Q456" s="52">
        <f>Sirup[[#This Row],[qtySaldoAkhir2025]]*Sirup[[#This Row],[hargaSatuan]]</f>
        <v>40855100</v>
      </c>
      <c r="S456" s="32">
        <f t="shared" ref="S456:S519" si="14">IFERROR(I456+K456-(M456+O456),0)</f>
        <v>40855100</v>
      </c>
      <c r="T456" s="32">
        <f t="shared" ref="T456:T519" si="15">IFERROR(Q456-S456,0)</f>
        <v>0</v>
      </c>
    </row>
    <row r="457" spans="1:20" ht="14.4" x14ac:dyDescent="0.3">
      <c r="A457" s="44">
        <v>42</v>
      </c>
      <c r="B457" s="45" t="s">
        <v>615</v>
      </c>
      <c r="C457" s="46" t="s">
        <v>38</v>
      </c>
      <c r="D457" s="47" t="s">
        <v>616</v>
      </c>
      <c r="E457" s="48">
        <v>47150</v>
      </c>
      <c r="F457" s="49">
        <v>9934</v>
      </c>
      <c r="G457" s="45" t="s">
        <v>54</v>
      </c>
      <c r="H457" s="50">
        <v>4580</v>
      </c>
      <c r="I457" s="49">
        <f>Sirup[[#This Row],[qtySaldoAwalSem1]]*Sirup[[#This Row],[hargaSatuan]]</f>
        <v>45497720</v>
      </c>
      <c r="J457" s="50">
        <v>0</v>
      </c>
      <c r="K457" s="51">
        <f>Sirup[[#This Row],[qtyTerima2025]]*Sirup[[#This Row],[hargaSatuan]]</f>
        <v>0</v>
      </c>
      <c r="L457" s="50">
        <v>2730</v>
      </c>
      <c r="M457" s="51">
        <f>Sirup[[#This Row],[qtyDist2025]]*Sirup[[#This Row],[hargaSatuan]]</f>
        <v>27119820</v>
      </c>
      <c r="N457" s="50">
        <v>0</v>
      </c>
      <c r="O457" s="51">
        <f>Sirup[[#This Row],[qtyEd2025]]*Sirup[[#This Row],[hargaSatuan]]</f>
        <v>0</v>
      </c>
      <c r="P457" s="50">
        <v>1850</v>
      </c>
      <c r="Q457" s="52">
        <f>Sirup[[#This Row],[qtySaldoAkhir2025]]*Sirup[[#This Row],[hargaSatuan]]</f>
        <v>18377900</v>
      </c>
      <c r="S457" s="32">
        <f t="shared" si="14"/>
        <v>18377900</v>
      </c>
      <c r="T457" s="32">
        <f t="shared" si="15"/>
        <v>0</v>
      </c>
    </row>
    <row r="458" spans="1:20" ht="14.4" x14ac:dyDescent="0.3">
      <c r="A458" s="44">
        <v>43</v>
      </c>
      <c r="B458" s="45" t="s">
        <v>617</v>
      </c>
      <c r="C458" s="46" t="s">
        <v>38</v>
      </c>
      <c r="D458" s="47">
        <v>2404048</v>
      </c>
      <c r="E458" s="48">
        <v>46478</v>
      </c>
      <c r="F458" s="49">
        <v>4367</v>
      </c>
      <c r="G458" s="45" t="s">
        <v>54</v>
      </c>
      <c r="H458" s="50">
        <v>1230</v>
      </c>
      <c r="I458" s="49">
        <f>Sirup[[#This Row],[qtySaldoAwalSem1]]*Sirup[[#This Row],[hargaSatuan]]</f>
        <v>5371410</v>
      </c>
      <c r="J458" s="50">
        <v>0</v>
      </c>
      <c r="K458" s="51">
        <f>Sirup[[#This Row],[qtyTerima2025]]*Sirup[[#This Row],[hargaSatuan]]</f>
        <v>0</v>
      </c>
      <c r="L458" s="50">
        <v>1230</v>
      </c>
      <c r="M458" s="51">
        <f>Sirup[[#This Row],[qtyDist2025]]*Sirup[[#This Row],[hargaSatuan]]</f>
        <v>5371410</v>
      </c>
      <c r="N458" s="50">
        <v>0</v>
      </c>
      <c r="O458" s="51">
        <f>Sirup[[#This Row],[qtyEd2025]]*Sirup[[#This Row],[hargaSatuan]]</f>
        <v>0</v>
      </c>
      <c r="P458" s="50">
        <v>0</v>
      </c>
      <c r="Q458" s="52">
        <f>Sirup[[#This Row],[qtySaldoAkhir2025]]*Sirup[[#This Row],[hargaSatuan]]</f>
        <v>0</v>
      </c>
      <c r="S458" s="32">
        <f t="shared" si="14"/>
        <v>0</v>
      </c>
      <c r="T458" s="32">
        <f t="shared" si="15"/>
        <v>0</v>
      </c>
    </row>
    <row r="459" spans="1:20" ht="14.4" x14ac:dyDescent="0.3">
      <c r="A459" s="44">
        <v>44</v>
      </c>
      <c r="B459" s="45" t="s">
        <v>618</v>
      </c>
      <c r="C459" s="46" t="s">
        <v>38</v>
      </c>
      <c r="D459" s="47" t="s">
        <v>619</v>
      </c>
      <c r="E459" s="48">
        <v>46997</v>
      </c>
      <c r="F459" s="49">
        <v>10800.3</v>
      </c>
      <c r="G459" s="45" t="s">
        <v>18</v>
      </c>
      <c r="H459" s="50">
        <v>0</v>
      </c>
      <c r="I459" s="49">
        <f>Sirup[[#This Row],[qtySaldoAwalSem1]]*Sirup[[#This Row],[hargaSatuan]]</f>
        <v>0</v>
      </c>
      <c r="J459" s="50">
        <v>680</v>
      </c>
      <c r="K459" s="51">
        <f>Sirup[[#This Row],[qtyTerima2025]]*Sirup[[#This Row],[hargaSatuan]]</f>
        <v>7344203.9999999991</v>
      </c>
      <c r="L459" s="50">
        <v>680</v>
      </c>
      <c r="M459" s="51">
        <f>Sirup[[#This Row],[qtyDist2025]]*Sirup[[#This Row],[hargaSatuan]]</f>
        <v>7344203.9999999991</v>
      </c>
      <c r="N459" s="50">
        <v>0</v>
      </c>
      <c r="O459" s="51">
        <f>Sirup[[#This Row],[qtyEd2025]]*Sirup[[#This Row],[hargaSatuan]]</f>
        <v>0</v>
      </c>
      <c r="P459" s="50">
        <v>0</v>
      </c>
      <c r="Q459" s="52">
        <f>Sirup[[#This Row],[qtySaldoAkhir2025]]*Sirup[[#This Row],[hargaSatuan]]</f>
        <v>0</v>
      </c>
      <c r="S459" s="32">
        <f t="shared" si="14"/>
        <v>0</v>
      </c>
      <c r="T459" s="32">
        <f t="shared" si="15"/>
        <v>0</v>
      </c>
    </row>
    <row r="460" spans="1:20" ht="14.4" x14ac:dyDescent="0.3">
      <c r="A460" s="44">
        <v>45</v>
      </c>
      <c r="B460" s="45" t="s">
        <v>620</v>
      </c>
      <c r="C460" s="46" t="s">
        <v>38</v>
      </c>
      <c r="D460" s="47" t="s">
        <v>621</v>
      </c>
      <c r="E460" s="48">
        <v>46235</v>
      </c>
      <c r="F460" s="49">
        <v>7865</v>
      </c>
      <c r="G460" s="45" t="s">
        <v>17</v>
      </c>
      <c r="H460" s="50">
        <v>2304</v>
      </c>
      <c r="I460" s="49">
        <f>Sirup[[#This Row],[qtySaldoAwalSem1]]*Sirup[[#This Row],[hargaSatuan]]</f>
        <v>18120960</v>
      </c>
      <c r="J460" s="50">
        <v>0</v>
      </c>
      <c r="K460" s="51">
        <f>Sirup[[#This Row],[qtyTerima2025]]*Sirup[[#This Row],[hargaSatuan]]</f>
        <v>0</v>
      </c>
      <c r="L460" s="50">
        <v>2304</v>
      </c>
      <c r="M460" s="51">
        <f>Sirup[[#This Row],[qtyDist2025]]*Sirup[[#This Row],[hargaSatuan]]</f>
        <v>18120960</v>
      </c>
      <c r="N460" s="50">
        <v>0</v>
      </c>
      <c r="O460" s="51">
        <f>Sirup[[#This Row],[qtyEd2025]]*Sirup[[#This Row],[hargaSatuan]]</f>
        <v>0</v>
      </c>
      <c r="P460" s="50">
        <v>0</v>
      </c>
      <c r="Q460" s="52">
        <f>Sirup[[#This Row],[qtySaldoAkhir2025]]*Sirup[[#This Row],[hargaSatuan]]</f>
        <v>0</v>
      </c>
      <c r="S460" s="32">
        <f t="shared" si="14"/>
        <v>0</v>
      </c>
      <c r="T460" s="32">
        <f t="shared" si="15"/>
        <v>0</v>
      </c>
    </row>
    <row r="461" spans="1:20" ht="14.4" x14ac:dyDescent="0.3">
      <c r="A461" s="44">
        <v>46</v>
      </c>
      <c r="B461" s="45" t="s">
        <v>620</v>
      </c>
      <c r="C461" s="46" t="s">
        <v>38</v>
      </c>
      <c r="D461" s="47" t="s">
        <v>622</v>
      </c>
      <c r="E461" s="48">
        <v>46477</v>
      </c>
      <c r="F461" s="49">
        <v>7865</v>
      </c>
      <c r="G461" s="45" t="s">
        <v>18</v>
      </c>
      <c r="H461" s="50">
        <v>0</v>
      </c>
      <c r="I461" s="49">
        <f>Sirup[[#This Row],[qtySaldoAwalSem1]]*Sirup[[#This Row],[hargaSatuan]]</f>
        <v>0</v>
      </c>
      <c r="J461" s="50">
        <v>1267</v>
      </c>
      <c r="K461" s="51">
        <f>Sirup[[#This Row],[qtyTerima2025]]*Sirup[[#This Row],[hargaSatuan]]</f>
        <v>9964955</v>
      </c>
      <c r="L461" s="50">
        <v>1267</v>
      </c>
      <c r="M461" s="51">
        <f>Sirup[[#This Row],[qtyDist2025]]*Sirup[[#This Row],[hargaSatuan]]</f>
        <v>9964955</v>
      </c>
      <c r="N461" s="50">
        <v>0</v>
      </c>
      <c r="O461" s="51">
        <f>Sirup[[#This Row],[qtyEd2025]]*Sirup[[#This Row],[hargaSatuan]]</f>
        <v>0</v>
      </c>
      <c r="P461" s="50">
        <v>0</v>
      </c>
      <c r="Q461" s="52">
        <f>Sirup[[#This Row],[qtySaldoAkhir2025]]*Sirup[[#This Row],[hargaSatuan]]</f>
        <v>0</v>
      </c>
      <c r="S461" s="32">
        <f t="shared" si="14"/>
        <v>0</v>
      </c>
      <c r="T461" s="32">
        <f t="shared" si="15"/>
        <v>0</v>
      </c>
    </row>
    <row r="462" spans="1:20" ht="14.4" x14ac:dyDescent="0.3">
      <c r="A462" s="44">
        <v>47</v>
      </c>
      <c r="B462" s="45" t="s">
        <v>623</v>
      </c>
      <c r="C462" s="46" t="s">
        <v>38</v>
      </c>
      <c r="D462" s="47" t="s">
        <v>624</v>
      </c>
      <c r="E462" s="48">
        <v>45931</v>
      </c>
      <c r="F462" s="49">
        <v>5106</v>
      </c>
      <c r="G462" s="45" t="s">
        <v>43</v>
      </c>
      <c r="H462" s="50">
        <v>3380</v>
      </c>
      <c r="I462" s="49">
        <f>Sirup[[#This Row],[qtySaldoAwalSem1]]*Sirup[[#This Row],[hargaSatuan]]</f>
        <v>17258280</v>
      </c>
      <c r="J462" s="50">
        <v>0</v>
      </c>
      <c r="K462" s="51">
        <f>Sirup[[#This Row],[qtyTerima2025]]*Sirup[[#This Row],[hargaSatuan]]</f>
        <v>0</v>
      </c>
      <c r="L462" s="50">
        <v>1452</v>
      </c>
      <c r="M462" s="51">
        <f>Sirup[[#This Row],[qtyDist2025]]*Sirup[[#This Row],[hargaSatuan]]</f>
        <v>7413912</v>
      </c>
      <c r="N462" s="50">
        <v>1928</v>
      </c>
      <c r="O462" s="51">
        <f>Sirup[[#This Row],[qtyEd2025]]*Sirup[[#This Row],[hargaSatuan]]</f>
        <v>9844368</v>
      </c>
      <c r="P462" s="50">
        <v>0</v>
      </c>
      <c r="Q462" s="52">
        <f>Sirup[[#This Row],[qtySaldoAkhir2025]]*Sirup[[#This Row],[hargaSatuan]]</f>
        <v>0</v>
      </c>
      <c r="S462" s="32">
        <f t="shared" si="14"/>
        <v>0</v>
      </c>
      <c r="T462" s="32">
        <f t="shared" si="15"/>
        <v>0</v>
      </c>
    </row>
    <row r="463" spans="1:20" ht="14.4" x14ac:dyDescent="0.3">
      <c r="A463" s="44">
        <v>48</v>
      </c>
      <c r="B463" s="45" t="s">
        <v>623</v>
      </c>
      <c r="C463" s="46" t="s">
        <v>38</v>
      </c>
      <c r="D463" s="47">
        <v>2404020</v>
      </c>
      <c r="E463" s="48">
        <v>46113</v>
      </c>
      <c r="F463" s="49">
        <v>4634</v>
      </c>
      <c r="G463" s="45" t="s">
        <v>54</v>
      </c>
      <c r="H463" s="50">
        <v>5000</v>
      </c>
      <c r="I463" s="49">
        <f>Sirup[[#This Row],[qtySaldoAwalSem1]]*Sirup[[#This Row],[hargaSatuan]]</f>
        <v>23170000</v>
      </c>
      <c r="J463" s="50">
        <v>0</v>
      </c>
      <c r="K463" s="51">
        <f>Sirup[[#This Row],[qtyTerima2025]]*Sirup[[#This Row],[hargaSatuan]]</f>
        <v>0</v>
      </c>
      <c r="L463" s="50">
        <v>1195</v>
      </c>
      <c r="M463" s="51">
        <f>Sirup[[#This Row],[qtyDist2025]]*Sirup[[#This Row],[hargaSatuan]]</f>
        <v>5537630</v>
      </c>
      <c r="N463" s="50">
        <v>0</v>
      </c>
      <c r="O463" s="51">
        <f>Sirup[[#This Row],[qtyEd2025]]*Sirup[[#This Row],[hargaSatuan]]</f>
        <v>0</v>
      </c>
      <c r="P463" s="50">
        <v>3805</v>
      </c>
      <c r="Q463" s="52">
        <f>Sirup[[#This Row],[qtySaldoAkhir2025]]*Sirup[[#This Row],[hargaSatuan]]</f>
        <v>17632370</v>
      </c>
      <c r="S463" s="32">
        <f t="shared" si="14"/>
        <v>17632370</v>
      </c>
      <c r="T463" s="32">
        <f t="shared" si="15"/>
        <v>0</v>
      </c>
    </row>
    <row r="464" spans="1:20" ht="14.4" x14ac:dyDescent="0.3">
      <c r="A464" s="59">
        <v>49</v>
      </c>
      <c r="B464" s="60" t="s">
        <v>625</v>
      </c>
      <c r="C464" s="61" t="s">
        <v>38</v>
      </c>
      <c r="D464" s="62" t="s">
        <v>626</v>
      </c>
      <c r="E464" s="63">
        <v>45962</v>
      </c>
      <c r="F464" s="64">
        <v>5051</v>
      </c>
      <c r="G464" s="60" t="s">
        <v>54</v>
      </c>
      <c r="H464" s="65">
        <v>342</v>
      </c>
      <c r="I464" s="49">
        <f>Sirup[[#This Row],[qtySaldoAwalSem1]]*Sirup[[#This Row],[hargaSatuan]]</f>
        <v>1727442</v>
      </c>
      <c r="J464" s="65">
        <v>0</v>
      </c>
      <c r="K464" s="51">
        <f>Sirup[[#This Row],[qtyTerima2025]]*Sirup[[#This Row],[hargaSatuan]]</f>
        <v>0</v>
      </c>
      <c r="L464" s="65">
        <v>168</v>
      </c>
      <c r="M464" s="51">
        <f>Sirup[[#This Row],[qtyDist2025]]*Sirup[[#This Row],[hargaSatuan]]</f>
        <v>848568</v>
      </c>
      <c r="N464" s="65">
        <v>174</v>
      </c>
      <c r="O464" s="51">
        <f>Sirup[[#This Row],[qtyEd2025]]*Sirup[[#This Row],[hargaSatuan]]</f>
        <v>878874</v>
      </c>
      <c r="P464" s="65">
        <v>0</v>
      </c>
      <c r="Q464" s="52">
        <f>Sirup[[#This Row],[qtySaldoAkhir2025]]*Sirup[[#This Row],[hargaSatuan]]</f>
        <v>0</v>
      </c>
      <c r="S464" s="32">
        <f t="shared" si="14"/>
        <v>0</v>
      </c>
      <c r="T464" s="32">
        <f t="shared" si="15"/>
        <v>0</v>
      </c>
    </row>
    <row r="465" spans="1:20" ht="14.4" x14ac:dyDescent="0.3">
      <c r="A465" s="83"/>
      <c r="B465" s="27" t="s">
        <v>627</v>
      </c>
      <c r="C465" s="26"/>
      <c r="D465" s="28"/>
      <c r="E465" s="29"/>
      <c r="F465" s="30"/>
      <c r="G465" s="27"/>
      <c r="H465" s="31"/>
      <c r="I465" s="30">
        <f>SUBTOTAL(9,Larutan[nomSaldoAwalSem1])</f>
        <v>216903199.58271605</v>
      </c>
      <c r="J465" s="30"/>
      <c r="K465" s="30">
        <f>SUBTOTAL(9,Larutan[nomTerima2025])</f>
        <v>230409430</v>
      </c>
      <c r="L465" s="30"/>
      <c r="M465" s="30">
        <f>SUBTOTAL(9,Larutan[nomDist2025])</f>
        <v>302173813.45308644</v>
      </c>
      <c r="N465" s="30"/>
      <c r="O465" s="30">
        <f>SUBTOTAL(9,Larutan[nomEd2025])</f>
        <v>12570000</v>
      </c>
      <c r="P465" s="30"/>
      <c r="Q465" s="30">
        <f>SUBTOTAL(9,Larutan[nomSaldoAkhir2025])</f>
        <v>132568816.12962961</v>
      </c>
      <c r="S465" s="32">
        <f t="shared" si="14"/>
        <v>132568816.12962961</v>
      </c>
      <c r="T465" s="32">
        <f t="shared" si="15"/>
        <v>0</v>
      </c>
    </row>
    <row r="466" spans="1:20" ht="14.4" x14ac:dyDescent="0.3">
      <c r="A466" s="35" t="s">
        <v>19</v>
      </c>
      <c r="B466" s="36" t="s">
        <v>20</v>
      </c>
      <c r="C466" s="37" t="s">
        <v>21</v>
      </c>
      <c r="D466" s="38" t="s">
        <v>22</v>
      </c>
      <c r="E466" s="39" t="s">
        <v>23</v>
      </c>
      <c r="F466" s="40" t="s">
        <v>24</v>
      </c>
      <c r="G466" s="36" t="s">
        <v>25</v>
      </c>
      <c r="H466" s="41" t="s">
        <v>26</v>
      </c>
      <c r="I466" s="40" t="s">
        <v>27</v>
      </c>
      <c r="J466" s="41" t="s">
        <v>28</v>
      </c>
      <c r="K466" s="66" t="s">
        <v>29</v>
      </c>
      <c r="L466" s="41" t="s">
        <v>30</v>
      </c>
      <c r="M466" s="66" t="s">
        <v>31</v>
      </c>
      <c r="N466" s="41" t="s">
        <v>32</v>
      </c>
      <c r="O466" s="66" t="s">
        <v>33</v>
      </c>
      <c r="P466" s="41" t="s">
        <v>34</v>
      </c>
      <c r="Q466" s="67" t="s">
        <v>35</v>
      </c>
      <c r="S466" s="32">
        <f t="shared" si="14"/>
        <v>0</v>
      </c>
      <c r="T466" s="32">
        <f t="shared" si="15"/>
        <v>0</v>
      </c>
    </row>
    <row r="467" spans="1:20" ht="14.4" x14ac:dyDescent="0.3">
      <c r="A467" s="44">
        <v>1</v>
      </c>
      <c r="B467" s="45" t="s">
        <v>628</v>
      </c>
      <c r="C467" s="46" t="s">
        <v>38</v>
      </c>
      <c r="D467" s="47">
        <v>24001086</v>
      </c>
      <c r="E467" s="48">
        <v>47178</v>
      </c>
      <c r="F467" s="49">
        <v>29847.4</v>
      </c>
      <c r="G467" s="45" t="s">
        <v>54</v>
      </c>
      <c r="H467" s="50">
        <v>18</v>
      </c>
      <c r="I467" s="49">
        <f>Larutan[[#This Row],[qtySaldoAwalSem1]]*Larutan[[#This Row],[hargaSatuan]]</f>
        <v>537253.20000000007</v>
      </c>
      <c r="J467" s="50">
        <v>0</v>
      </c>
      <c r="K467" s="51">
        <f>Larutan[[#This Row],[qtyTerima2025]]*Larutan[[#This Row],[hargaSatuan]]</f>
        <v>0</v>
      </c>
      <c r="L467" s="50">
        <v>18</v>
      </c>
      <c r="M467" s="51">
        <f>Larutan[[#This Row],[qtyDist2025]]*Larutan[[#This Row],[hargaSatuan]]</f>
        <v>537253.20000000007</v>
      </c>
      <c r="N467" s="50">
        <v>0</v>
      </c>
      <c r="O467" s="51">
        <f>Larutan[[#This Row],[qtyEd2025]]*Larutan[[#This Row],[hargaSatuan]]</f>
        <v>0</v>
      </c>
      <c r="P467" s="50">
        <v>0</v>
      </c>
      <c r="Q467" s="52">
        <f>Larutan[[#This Row],[qtySaldoAkhir2025]]*Larutan[[#This Row],[hargaSatuan]]</f>
        <v>0</v>
      </c>
      <c r="S467" s="32">
        <f t="shared" si="14"/>
        <v>0</v>
      </c>
      <c r="T467" s="32">
        <f t="shared" si="15"/>
        <v>0</v>
      </c>
    </row>
    <row r="468" spans="1:20" ht="14.4" x14ac:dyDescent="0.3">
      <c r="A468" s="44">
        <v>2</v>
      </c>
      <c r="B468" s="45" t="s">
        <v>629</v>
      </c>
      <c r="C468" s="46" t="s">
        <v>38</v>
      </c>
      <c r="D468" s="47">
        <v>184170623</v>
      </c>
      <c r="E468" s="48">
        <v>46539</v>
      </c>
      <c r="F468" s="49">
        <v>11119.7530864198</v>
      </c>
      <c r="G468" s="45" t="s">
        <v>54</v>
      </c>
      <c r="H468" s="50">
        <v>43</v>
      </c>
      <c r="I468" s="49">
        <f>Larutan[[#This Row],[qtySaldoAwalSem1]]*Larutan[[#This Row],[hargaSatuan]]</f>
        <v>478149.38271605136</v>
      </c>
      <c r="J468" s="50">
        <v>0</v>
      </c>
      <c r="K468" s="51">
        <f>Larutan[[#This Row],[qtyTerima2025]]*Larutan[[#This Row],[hargaSatuan]]</f>
        <v>0</v>
      </c>
      <c r="L468" s="50">
        <v>1</v>
      </c>
      <c r="M468" s="51">
        <f>Larutan[[#This Row],[qtyDist2025]]*Larutan[[#This Row],[hargaSatuan]]</f>
        <v>11119.7530864198</v>
      </c>
      <c r="N468" s="50">
        <v>0</v>
      </c>
      <c r="O468" s="51">
        <f>Larutan[[#This Row],[qtyEd2025]]*Larutan[[#This Row],[hargaSatuan]]</f>
        <v>0</v>
      </c>
      <c r="P468" s="50">
        <v>42</v>
      </c>
      <c r="Q468" s="52">
        <f>Larutan[[#This Row],[qtySaldoAkhir2025]]*Larutan[[#This Row],[hargaSatuan]]</f>
        <v>467029.62962963158</v>
      </c>
      <c r="S468" s="32">
        <f t="shared" si="14"/>
        <v>467029.62962963158</v>
      </c>
      <c r="T468" s="32">
        <f t="shared" si="15"/>
        <v>0</v>
      </c>
    </row>
    <row r="469" spans="1:20" ht="14.4" x14ac:dyDescent="0.3">
      <c r="A469" s="44">
        <v>3</v>
      </c>
      <c r="B469" s="45" t="s">
        <v>630</v>
      </c>
      <c r="C469" s="46" t="s">
        <v>560</v>
      </c>
      <c r="D469" s="47">
        <v>0</v>
      </c>
      <c r="E469" s="48">
        <v>0</v>
      </c>
      <c r="F469" s="49">
        <v>191600</v>
      </c>
      <c r="G469" s="45" t="s">
        <v>17</v>
      </c>
      <c r="H469" s="50">
        <v>17</v>
      </c>
      <c r="I469" s="49">
        <f>Larutan[[#This Row],[qtySaldoAwalSem1]]*Larutan[[#This Row],[hargaSatuan]]</f>
        <v>3257200</v>
      </c>
      <c r="J469" s="50">
        <v>0</v>
      </c>
      <c r="K469" s="51">
        <f>Larutan[[#This Row],[qtyTerima2025]]*Larutan[[#This Row],[hargaSatuan]]</f>
        <v>0</v>
      </c>
      <c r="L469" s="50">
        <v>3</v>
      </c>
      <c r="M469" s="51">
        <f>Larutan[[#This Row],[qtyDist2025]]*Larutan[[#This Row],[hargaSatuan]]</f>
        <v>574800</v>
      </c>
      <c r="N469" s="50">
        <v>0</v>
      </c>
      <c r="O469" s="51">
        <f>Larutan[[#This Row],[qtyEd2025]]*Larutan[[#This Row],[hargaSatuan]]</f>
        <v>0</v>
      </c>
      <c r="P469" s="50">
        <v>14</v>
      </c>
      <c r="Q469" s="52">
        <f>Larutan[[#This Row],[qtySaldoAkhir2025]]*Larutan[[#This Row],[hargaSatuan]]</f>
        <v>2682400</v>
      </c>
      <c r="S469" s="32">
        <f t="shared" si="14"/>
        <v>2682400</v>
      </c>
      <c r="T469" s="32">
        <f t="shared" si="15"/>
        <v>0</v>
      </c>
    </row>
    <row r="470" spans="1:20" ht="14.4" x14ac:dyDescent="0.3">
      <c r="A470" s="44">
        <v>4</v>
      </c>
      <c r="B470" s="45" t="s">
        <v>631</v>
      </c>
      <c r="C470" s="46" t="s">
        <v>632</v>
      </c>
      <c r="D470" s="47" t="s">
        <v>633</v>
      </c>
      <c r="E470" s="48">
        <v>45962</v>
      </c>
      <c r="F470" s="49">
        <v>11600</v>
      </c>
      <c r="G470" s="45" t="s">
        <v>54</v>
      </c>
      <c r="H470" s="50">
        <v>2135</v>
      </c>
      <c r="I470" s="49">
        <f>Larutan[[#This Row],[qtySaldoAwalSem1]]*Larutan[[#This Row],[hargaSatuan]]</f>
        <v>24766000</v>
      </c>
      <c r="J470" s="50">
        <v>0</v>
      </c>
      <c r="K470" s="51">
        <f>Larutan[[#This Row],[qtyTerima2025]]*Larutan[[#This Row],[hargaSatuan]]</f>
        <v>0</v>
      </c>
      <c r="L470" s="50">
        <v>1090</v>
      </c>
      <c r="M470" s="51">
        <f>Larutan[[#This Row],[qtyDist2025]]*Larutan[[#This Row],[hargaSatuan]]</f>
        <v>12644000</v>
      </c>
      <c r="N470" s="50">
        <v>1045</v>
      </c>
      <c r="O470" s="51">
        <f>Larutan[[#This Row],[qtyEd2025]]*Larutan[[#This Row],[hargaSatuan]]</f>
        <v>12122000</v>
      </c>
      <c r="P470" s="50">
        <v>0</v>
      </c>
      <c r="Q470" s="52">
        <f>Larutan[[#This Row],[qtySaldoAkhir2025]]*Larutan[[#This Row],[hargaSatuan]]</f>
        <v>0</v>
      </c>
      <c r="S470" s="32">
        <f t="shared" si="14"/>
        <v>0</v>
      </c>
      <c r="T470" s="32">
        <f t="shared" si="15"/>
        <v>0</v>
      </c>
    </row>
    <row r="471" spans="1:20" ht="14.4" x14ac:dyDescent="0.3">
      <c r="A471" s="44">
        <v>5</v>
      </c>
      <c r="B471" s="45" t="s">
        <v>634</v>
      </c>
      <c r="C471" s="46" t="s">
        <v>38</v>
      </c>
      <c r="D471" s="47" t="s">
        <v>635</v>
      </c>
      <c r="E471" s="48">
        <v>45839</v>
      </c>
      <c r="F471" s="49">
        <v>9760</v>
      </c>
      <c r="G471" s="45" t="s">
        <v>43</v>
      </c>
      <c r="H471" s="50">
        <v>849</v>
      </c>
      <c r="I471" s="49">
        <f>Larutan[[#This Row],[qtySaldoAwalSem1]]*Larutan[[#This Row],[hargaSatuan]]</f>
        <v>8286240</v>
      </c>
      <c r="J471" s="50">
        <v>0</v>
      </c>
      <c r="K471" s="51">
        <f>Larutan[[#This Row],[qtyTerima2025]]*Larutan[[#This Row],[hargaSatuan]]</f>
        <v>0</v>
      </c>
      <c r="L471" s="50">
        <v>849</v>
      </c>
      <c r="M471" s="51">
        <f>Larutan[[#This Row],[qtyDist2025]]*Larutan[[#This Row],[hargaSatuan]]</f>
        <v>8286240</v>
      </c>
      <c r="N471" s="50">
        <v>0</v>
      </c>
      <c r="O471" s="51">
        <f>Larutan[[#This Row],[qtyEd2025]]*Larutan[[#This Row],[hargaSatuan]]</f>
        <v>0</v>
      </c>
      <c r="P471" s="50">
        <v>0</v>
      </c>
      <c r="Q471" s="52">
        <f>Larutan[[#This Row],[qtySaldoAkhir2025]]*Larutan[[#This Row],[hargaSatuan]]</f>
        <v>0</v>
      </c>
      <c r="S471" s="32">
        <f t="shared" si="14"/>
        <v>0</v>
      </c>
      <c r="T471" s="32">
        <f t="shared" si="15"/>
        <v>0</v>
      </c>
    </row>
    <row r="472" spans="1:20" ht="14.4" x14ac:dyDescent="0.3">
      <c r="A472" s="44">
        <v>6</v>
      </c>
      <c r="B472" s="45" t="s">
        <v>634</v>
      </c>
      <c r="C472" s="46" t="s">
        <v>38</v>
      </c>
      <c r="D472" s="47">
        <v>259002</v>
      </c>
      <c r="E472" s="48">
        <v>46082</v>
      </c>
      <c r="F472" s="49">
        <v>9760</v>
      </c>
      <c r="G472" s="45" t="s">
        <v>54</v>
      </c>
      <c r="H472" s="50">
        <v>4440</v>
      </c>
      <c r="I472" s="49">
        <f>Larutan[[#This Row],[qtySaldoAwalSem1]]*Larutan[[#This Row],[hargaSatuan]]</f>
        <v>43334400</v>
      </c>
      <c r="J472" s="50">
        <v>0</v>
      </c>
      <c r="K472" s="51">
        <f>Larutan[[#This Row],[qtyTerima2025]]*Larutan[[#This Row],[hargaSatuan]]</f>
        <v>0</v>
      </c>
      <c r="L472" s="50">
        <v>1392</v>
      </c>
      <c r="M472" s="51">
        <f>Larutan[[#This Row],[qtyDist2025]]*Larutan[[#This Row],[hargaSatuan]]</f>
        <v>13585920</v>
      </c>
      <c r="N472" s="50">
        <v>0</v>
      </c>
      <c r="O472" s="51">
        <f>Larutan[[#This Row],[qtyEd2025]]*Larutan[[#This Row],[hargaSatuan]]</f>
        <v>0</v>
      </c>
      <c r="P472" s="50">
        <v>3048</v>
      </c>
      <c r="Q472" s="52">
        <f>Larutan[[#This Row],[qtySaldoAkhir2025]]*Larutan[[#This Row],[hargaSatuan]]</f>
        <v>29748480</v>
      </c>
      <c r="S472" s="32">
        <f t="shared" si="14"/>
        <v>29748480</v>
      </c>
      <c r="T472" s="32">
        <f t="shared" si="15"/>
        <v>0</v>
      </c>
    </row>
    <row r="473" spans="1:20" ht="14.4" x14ac:dyDescent="0.3">
      <c r="A473" s="44">
        <v>7</v>
      </c>
      <c r="B473" s="45" t="s">
        <v>634</v>
      </c>
      <c r="C473" s="46" t="s">
        <v>38</v>
      </c>
      <c r="D473" s="47">
        <v>259004</v>
      </c>
      <c r="E473" s="48">
        <v>46113</v>
      </c>
      <c r="F473" s="49">
        <v>9760</v>
      </c>
      <c r="G473" s="45" t="s">
        <v>54</v>
      </c>
      <c r="H473" s="50">
        <v>552</v>
      </c>
      <c r="I473" s="49">
        <f>Larutan[[#This Row],[qtySaldoAwalSem1]]*Larutan[[#This Row],[hargaSatuan]]</f>
        <v>5387520</v>
      </c>
      <c r="J473" s="50">
        <v>0</v>
      </c>
      <c r="K473" s="51">
        <f>Larutan[[#This Row],[qtyTerima2025]]*Larutan[[#This Row],[hargaSatuan]]</f>
        <v>0</v>
      </c>
      <c r="L473" s="50">
        <v>96</v>
      </c>
      <c r="M473" s="51">
        <f>Larutan[[#This Row],[qtyDist2025]]*Larutan[[#This Row],[hargaSatuan]]</f>
        <v>936960</v>
      </c>
      <c r="N473" s="50">
        <v>0</v>
      </c>
      <c r="O473" s="51">
        <f>Larutan[[#This Row],[qtyEd2025]]*Larutan[[#This Row],[hargaSatuan]]</f>
        <v>0</v>
      </c>
      <c r="P473" s="50">
        <v>456</v>
      </c>
      <c r="Q473" s="52">
        <f>Larutan[[#This Row],[qtySaldoAkhir2025]]*Larutan[[#This Row],[hargaSatuan]]</f>
        <v>4450560</v>
      </c>
      <c r="S473" s="32">
        <f t="shared" si="14"/>
        <v>4450560</v>
      </c>
      <c r="T473" s="32">
        <f t="shared" si="15"/>
        <v>0</v>
      </c>
    </row>
    <row r="474" spans="1:20" ht="14.4" x14ac:dyDescent="0.3">
      <c r="A474" s="44">
        <v>8</v>
      </c>
      <c r="B474" s="45" t="s">
        <v>636</v>
      </c>
      <c r="C474" s="46" t="s">
        <v>38</v>
      </c>
      <c r="D474" s="47">
        <v>1072488</v>
      </c>
      <c r="E474" s="48">
        <v>46905</v>
      </c>
      <c r="F474" s="49">
        <v>8000</v>
      </c>
      <c r="G474" s="45" t="s">
        <v>54</v>
      </c>
      <c r="H474" s="50">
        <v>172</v>
      </c>
      <c r="I474" s="49">
        <f>Larutan[[#This Row],[qtySaldoAwalSem1]]*Larutan[[#This Row],[hargaSatuan]]</f>
        <v>1376000</v>
      </c>
      <c r="J474" s="50">
        <v>0</v>
      </c>
      <c r="K474" s="51">
        <f>Larutan[[#This Row],[qtyTerima2025]]*Larutan[[#This Row],[hargaSatuan]]</f>
        <v>0</v>
      </c>
      <c r="L474" s="50">
        <v>116</v>
      </c>
      <c r="M474" s="51">
        <f>Larutan[[#This Row],[qtyDist2025]]*Larutan[[#This Row],[hargaSatuan]]</f>
        <v>928000</v>
      </c>
      <c r="N474" s="50">
        <v>56</v>
      </c>
      <c r="O474" s="51">
        <f>Larutan[[#This Row],[qtyEd2025]]*Larutan[[#This Row],[hargaSatuan]]</f>
        <v>448000</v>
      </c>
      <c r="P474" s="50">
        <v>0</v>
      </c>
      <c r="Q474" s="52">
        <f>Larutan[[#This Row],[qtySaldoAkhir2025]]*Larutan[[#This Row],[hargaSatuan]]</f>
        <v>0</v>
      </c>
      <c r="S474" s="32">
        <f t="shared" si="14"/>
        <v>0</v>
      </c>
      <c r="T474" s="32">
        <f t="shared" si="15"/>
        <v>0</v>
      </c>
    </row>
    <row r="475" spans="1:20" ht="14.4" x14ac:dyDescent="0.3">
      <c r="A475" s="44">
        <v>9</v>
      </c>
      <c r="B475" s="45" t="s">
        <v>637</v>
      </c>
      <c r="C475" s="46" t="s">
        <v>38</v>
      </c>
      <c r="D475" s="47" t="s">
        <v>638</v>
      </c>
      <c r="E475" s="48">
        <v>46569</v>
      </c>
      <c r="F475" s="49">
        <v>8350</v>
      </c>
      <c r="G475" s="45" t="s">
        <v>43</v>
      </c>
      <c r="H475" s="50">
        <v>100</v>
      </c>
      <c r="I475" s="49">
        <f>Larutan[[#This Row],[qtySaldoAwalSem1]]*Larutan[[#This Row],[hargaSatuan]]</f>
        <v>835000</v>
      </c>
      <c r="J475" s="50">
        <v>0</v>
      </c>
      <c r="K475" s="51">
        <f>Larutan[[#This Row],[qtyTerima2025]]*Larutan[[#This Row],[hargaSatuan]]</f>
        <v>0</v>
      </c>
      <c r="L475" s="50">
        <v>0</v>
      </c>
      <c r="M475" s="51">
        <f>Larutan[[#This Row],[qtyDist2025]]*Larutan[[#This Row],[hargaSatuan]]</f>
        <v>0</v>
      </c>
      <c r="N475" s="50">
        <v>0</v>
      </c>
      <c r="O475" s="51">
        <f>Larutan[[#This Row],[qtyEd2025]]*Larutan[[#This Row],[hargaSatuan]]</f>
        <v>0</v>
      </c>
      <c r="P475" s="50">
        <v>100</v>
      </c>
      <c r="Q475" s="52">
        <f>Larutan[[#This Row],[qtySaldoAkhir2025]]*Larutan[[#This Row],[hargaSatuan]]</f>
        <v>835000</v>
      </c>
      <c r="S475" s="32">
        <f t="shared" si="14"/>
        <v>835000</v>
      </c>
      <c r="T475" s="32">
        <f t="shared" si="15"/>
        <v>0</v>
      </c>
    </row>
    <row r="476" spans="1:20" ht="14.4" x14ac:dyDescent="0.3">
      <c r="A476" s="44">
        <v>10</v>
      </c>
      <c r="B476" s="45" t="s">
        <v>637</v>
      </c>
      <c r="C476" s="46" t="s">
        <v>38</v>
      </c>
      <c r="D476" s="47" t="s">
        <v>639</v>
      </c>
      <c r="E476" s="48">
        <v>46235</v>
      </c>
      <c r="F476" s="49">
        <v>9980</v>
      </c>
      <c r="G476" s="45" t="s">
        <v>54</v>
      </c>
      <c r="H476" s="50">
        <v>330</v>
      </c>
      <c r="I476" s="49">
        <f>Larutan[[#This Row],[qtySaldoAwalSem1]]*Larutan[[#This Row],[hargaSatuan]]</f>
        <v>3293400</v>
      </c>
      <c r="J476" s="50">
        <v>0</v>
      </c>
      <c r="K476" s="51">
        <f>Larutan[[#This Row],[qtyTerima2025]]*Larutan[[#This Row],[hargaSatuan]]</f>
        <v>0</v>
      </c>
      <c r="L476" s="50">
        <v>73</v>
      </c>
      <c r="M476" s="51">
        <f>Larutan[[#This Row],[qtyDist2025]]*Larutan[[#This Row],[hargaSatuan]]</f>
        <v>728540</v>
      </c>
      <c r="N476" s="50">
        <v>0</v>
      </c>
      <c r="O476" s="51">
        <f>Larutan[[#This Row],[qtyEd2025]]*Larutan[[#This Row],[hargaSatuan]]</f>
        <v>0</v>
      </c>
      <c r="P476" s="50">
        <v>257</v>
      </c>
      <c r="Q476" s="52">
        <f>Larutan[[#This Row],[qtySaldoAkhir2025]]*Larutan[[#This Row],[hargaSatuan]]</f>
        <v>2564860</v>
      </c>
      <c r="S476" s="32">
        <f t="shared" si="14"/>
        <v>2564860</v>
      </c>
      <c r="T476" s="32">
        <f t="shared" si="15"/>
        <v>0</v>
      </c>
    </row>
    <row r="477" spans="1:20" ht="14.4" x14ac:dyDescent="0.3">
      <c r="A477" s="44">
        <v>11</v>
      </c>
      <c r="B477" s="45" t="s">
        <v>640</v>
      </c>
      <c r="C477" s="46" t="s">
        <v>38</v>
      </c>
      <c r="D477" s="47" t="s">
        <v>641</v>
      </c>
      <c r="E477" s="48">
        <v>46113</v>
      </c>
      <c r="F477" s="49">
        <v>8530</v>
      </c>
      <c r="G477" s="45" t="s">
        <v>54</v>
      </c>
      <c r="H477" s="50">
        <v>615</v>
      </c>
      <c r="I477" s="49">
        <f>Larutan[[#This Row],[qtySaldoAwalSem1]]*Larutan[[#This Row],[hargaSatuan]]</f>
        <v>5245950</v>
      </c>
      <c r="J477" s="50">
        <v>0</v>
      </c>
      <c r="K477" s="51">
        <f>Larutan[[#This Row],[qtyTerima2025]]*Larutan[[#This Row],[hargaSatuan]]</f>
        <v>0</v>
      </c>
      <c r="L477" s="50">
        <v>310</v>
      </c>
      <c r="M477" s="51">
        <f>Larutan[[#This Row],[qtyDist2025]]*Larutan[[#This Row],[hargaSatuan]]</f>
        <v>2644300</v>
      </c>
      <c r="N477" s="50">
        <v>0</v>
      </c>
      <c r="O477" s="51">
        <f>Larutan[[#This Row],[qtyEd2025]]*Larutan[[#This Row],[hargaSatuan]]</f>
        <v>0</v>
      </c>
      <c r="P477" s="50">
        <v>305</v>
      </c>
      <c r="Q477" s="52">
        <f>Larutan[[#This Row],[qtySaldoAkhir2025]]*Larutan[[#This Row],[hargaSatuan]]</f>
        <v>2601650</v>
      </c>
      <c r="S477" s="32">
        <f t="shared" si="14"/>
        <v>2601650</v>
      </c>
      <c r="T477" s="32">
        <f t="shared" si="15"/>
        <v>0</v>
      </c>
    </row>
    <row r="478" spans="1:20" ht="14.4" x14ac:dyDescent="0.3">
      <c r="A478" s="44">
        <v>12</v>
      </c>
      <c r="B478" s="45" t="s">
        <v>642</v>
      </c>
      <c r="C478" s="46" t="s">
        <v>38</v>
      </c>
      <c r="D478" s="47" t="s">
        <v>643</v>
      </c>
      <c r="E478" s="48">
        <v>46023</v>
      </c>
      <c r="F478" s="49">
        <v>11990</v>
      </c>
      <c r="G478" s="45" t="s">
        <v>54</v>
      </c>
      <c r="H478" s="50">
        <v>960</v>
      </c>
      <c r="I478" s="49">
        <f>Larutan[[#This Row],[qtySaldoAwalSem1]]*Larutan[[#This Row],[hargaSatuan]]</f>
        <v>11510400</v>
      </c>
      <c r="J478" s="50">
        <v>0</v>
      </c>
      <c r="K478" s="51">
        <f>Larutan[[#This Row],[qtyTerima2025]]*Larutan[[#This Row],[hargaSatuan]]</f>
        <v>0</v>
      </c>
      <c r="L478" s="50">
        <v>159</v>
      </c>
      <c r="M478" s="51">
        <f>Larutan[[#This Row],[qtyDist2025]]*Larutan[[#This Row],[hargaSatuan]]</f>
        <v>1906410</v>
      </c>
      <c r="N478" s="50">
        <v>0</v>
      </c>
      <c r="O478" s="51">
        <f>Larutan[[#This Row],[qtyEd2025]]*Larutan[[#This Row],[hargaSatuan]]</f>
        <v>0</v>
      </c>
      <c r="P478" s="50">
        <v>801</v>
      </c>
      <c r="Q478" s="52">
        <f>Larutan[[#This Row],[qtySaldoAkhir2025]]*Larutan[[#This Row],[hargaSatuan]]</f>
        <v>9603990</v>
      </c>
      <c r="S478" s="32">
        <f t="shared" si="14"/>
        <v>9603990</v>
      </c>
      <c r="T478" s="32">
        <f t="shared" si="15"/>
        <v>0</v>
      </c>
    </row>
    <row r="479" spans="1:20" ht="14.4" x14ac:dyDescent="0.3">
      <c r="A479" s="44">
        <v>13</v>
      </c>
      <c r="B479" s="45" t="s">
        <v>644</v>
      </c>
      <c r="C479" s="46" t="s">
        <v>38</v>
      </c>
      <c r="D479" s="47" t="s">
        <v>645</v>
      </c>
      <c r="E479" s="48">
        <v>46143</v>
      </c>
      <c r="F479" s="49">
        <v>12770</v>
      </c>
      <c r="G479" s="45" t="s">
        <v>54</v>
      </c>
      <c r="H479" s="50">
        <v>760</v>
      </c>
      <c r="I479" s="49">
        <f>Larutan[[#This Row],[qtySaldoAwalSem1]]*Larutan[[#This Row],[hargaSatuan]]</f>
        <v>9705200</v>
      </c>
      <c r="J479" s="50">
        <v>0</v>
      </c>
      <c r="K479" s="51">
        <f>Larutan[[#This Row],[qtyTerima2025]]*Larutan[[#This Row],[hargaSatuan]]</f>
        <v>0</v>
      </c>
      <c r="L479" s="50">
        <v>740</v>
      </c>
      <c r="M479" s="51">
        <f>Larutan[[#This Row],[qtyDist2025]]*Larutan[[#This Row],[hargaSatuan]]</f>
        <v>9449800</v>
      </c>
      <c r="N479" s="50">
        <v>0</v>
      </c>
      <c r="O479" s="51">
        <f>Larutan[[#This Row],[qtyEd2025]]*Larutan[[#This Row],[hargaSatuan]]</f>
        <v>0</v>
      </c>
      <c r="P479" s="50">
        <v>20</v>
      </c>
      <c r="Q479" s="52">
        <f>Larutan[[#This Row],[qtySaldoAkhir2025]]*Larutan[[#This Row],[hargaSatuan]]</f>
        <v>255400</v>
      </c>
      <c r="S479" s="32">
        <f t="shared" si="14"/>
        <v>255400</v>
      </c>
      <c r="T479" s="32">
        <f t="shared" si="15"/>
        <v>0</v>
      </c>
    </row>
    <row r="480" spans="1:20" ht="14.4" x14ac:dyDescent="0.3">
      <c r="A480" s="44">
        <v>14</v>
      </c>
      <c r="B480" s="45" t="s">
        <v>646</v>
      </c>
      <c r="C480" s="46" t="s">
        <v>38</v>
      </c>
      <c r="D480" s="47" t="s">
        <v>647</v>
      </c>
      <c r="E480" s="48">
        <v>45901</v>
      </c>
      <c r="F480" s="49">
        <v>9136</v>
      </c>
      <c r="G480" s="45" t="s">
        <v>43</v>
      </c>
      <c r="H480" s="50">
        <v>146</v>
      </c>
      <c r="I480" s="49">
        <f>Larutan[[#This Row],[qtySaldoAwalSem1]]*Larutan[[#This Row],[hargaSatuan]]</f>
        <v>1333856</v>
      </c>
      <c r="J480" s="50">
        <v>0</v>
      </c>
      <c r="K480" s="51">
        <f>Larutan[[#This Row],[qtyTerima2025]]*Larutan[[#This Row],[hargaSatuan]]</f>
        <v>0</v>
      </c>
      <c r="L480" s="50">
        <v>146</v>
      </c>
      <c r="M480" s="51">
        <f>Larutan[[#This Row],[qtyDist2025]]*Larutan[[#This Row],[hargaSatuan]]</f>
        <v>1333856</v>
      </c>
      <c r="N480" s="50">
        <v>0</v>
      </c>
      <c r="O480" s="51">
        <f>Larutan[[#This Row],[qtyEd2025]]*Larutan[[#This Row],[hargaSatuan]]</f>
        <v>0</v>
      </c>
      <c r="P480" s="50">
        <v>0</v>
      </c>
      <c r="Q480" s="52">
        <f>Larutan[[#This Row],[qtySaldoAkhir2025]]*Larutan[[#This Row],[hargaSatuan]]</f>
        <v>0</v>
      </c>
      <c r="S480" s="32">
        <f t="shared" si="14"/>
        <v>0</v>
      </c>
      <c r="T480" s="32">
        <f t="shared" si="15"/>
        <v>0</v>
      </c>
    </row>
    <row r="481" spans="1:20" ht="14.4" x14ac:dyDescent="0.3">
      <c r="A481" s="44">
        <v>15</v>
      </c>
      <c r="B481" s="45" t="s">
        <v>646</v>
      </c>
      <c r="C481" s="46" t="s">
        <v>38</v>
      </c>
      <c r="D481" s="47">
        <v>459004</v>
      </c>
      <c r="E481" s="48">
        <v>46082</v>
      </c>
      <c r="F481" s="49">
        <v>9136</v>
      </c>
      <c r="G481" s="45" t="s">
        <v>54</v>
      </c>
      <c r="H481" s="50">
        <v>744</v>
      </c>
      <c r="I481" s="49">
        <f>Larutan[[#This Row],[qtySaldoAwalSem1]]*Larutan[[#This Row],[hargaSatuan]]</f>
        <v>6797184</v>
      </c>
      <c r="J481" s="50">
        <v>0</v>
      </c>
      <c r="K481" s="51">
        <f>Larutan[[#This Row],[qtyTerima2025]]*Larutan[[#This Row],[hargaSatuan]]</f>
        <v>0</v>
      </c>
      <c r="L481" s="50">
        <v>744</v>
      </c>
      <c r="M481" s="51">
        <f>Larutan[[#This Row],[qtyDist2025]]*Larutan[[#This Row],[hargaSatuan]]</f>
        <v>6797184</v>
      </c>
      <c r="N481" s="50">
        <v>0</v>
      </c>
      <c r="O481" s="51">
        <f>Larutan[[#This Row],[qtyEd2025]]*Larutan[[#This Row],[hargaSatuan]]</f>
        <v>0</v>
      </c>
      <c r="P481" s="50">
        <v>0</v>
      </c>
      <c r="Q481" s="52">
        <f>Larutan[[#This Row],[qtySaldoAkhir2025]]*Larutan[[#This Row],[hargaSatuan]]</f>
        <v>0</v>
      </c>
      <c r="S481" s="32">
        <f t="shared" si="14"/>
        <v>0</v>
      </c>
      <c r="T481" s="32">
        <f t="shared" si="15"/>
        <v>0</v>
      </c>
    </row>
    <row r="482" spans="1:20" ht="14.4" x14ac:dyDescent="0.3">
      <c r="A482" s="44">
        <v>16</v>
      </c>
      <c r="B482" s="45" t="s">
        <v>646</v>
      </c>
      <c r="C482" s="46" t="s">
        <v>38</v>
      </c>
      <c r="D482" s="47">
        <v>459005</v>
      </c>
      <c r="E482" s="48">
        <v>46082</v>
      </c>
      <c r="F482" s="49">
        <v>9136</v>
      </c>
      <c r="G482" s="45" t="s">
        <v>54</v>
      </c>
      <c r="H482" s="50">
        <v>240</v>
      </c>
      <c r="I482" s="49">
        <f>Larutan[[#This Row],[qtySaldoAwalSem1]]*Larutan[[#This Row],[hargaSatuan]]</f>
        <v>2192640</v>
      </c>
      <c r="J482" s="50">
        <v>0</v>
      </c>
      <c r="K482" s="51">
        <f>Larutan[[#This Row],[qtyTerima2025]]*Larutan[[#This Row],[hargaSatuan]]</f>
        <v>0</v>
      </c>
      <c r="L482" s="50">
        <v>240</v>
      </c>
      <c r="M482" s="51">
        <f>Larutan[[#This Row],[qtyDist2025]]*Larutan[[#This Row],[hargaSatuan]]</f>
        <v>2192640</v>
      </c>
      <c r="N482" s="50">
        <v>0</v>
      </c>
      <c r="O482" s="51">
        <f>Larutan[[#This Row],[qtyEd2025]]*Larutan[[#This Row],[hargaSatuan]]</f>
        <v>0</v>
      </c>
      <c r="P482" s="50">
        <v>0</v>
      </c>
      <c r="Q482" s="52">
        <f>Larutan[[#This Row],[qtySaldoAkhir2025]]*Larutan[[#This Row],[hargaSatuan]]</f>
        <v>0</v>
      </c>
      <c r="S482" s="32">
        <f t="shared" si="14"/>
        <v>0</v>
      </c>
      <c r="T482" s="32">
        <f t="shared" si="15"/>
        <v>0</v>
      </c>
    </row>
    <row r="483" spans="1:20" ht="14.4" x14ac:dyDescent="0.3">
      <c r="A483" s="44">
        <v>17</v>
      </c>
      <c r="B483" s="45" t="s">
        <v>648</v>
      </c>
      <c r="C483" s="46" t="s">
        <v>38</v>
      </c>
      <c r="D483" s="47" t="s">
        <v>649</v>
      </c>
      <c r="E483" s="48">
        <v>46054</v>
      </c>
      <c r="F483" s="49">
        <v>21453.333333333299</v>
      </c>
      <c r="G483" s="45" t="s">
        <v>54</v>
      </c>
      <c r="H483" s="50">
        <v>150</v>
      </c>
      <c r="I483" s="49">
        <f>Larutan[[#This Row],[qtySaldoAwalSem1]]*Larutan[[#This Row],[hargaSatuan]]</f>
        <v>3217999.9999999949</v>
      </c>
      <c r="J483" s="50">
        <v>0</v>
      </c>
      <c r="K483" s="51">
        <f>Larutan[[#This Row],[qtyTerima2025]]*Larutan[[#This Row],[hargaSatuan]]</f>
        <v>0</v>
      </c>
      <c r="L483" s="50">
        <v>0</v>
      </c>
      <c r="M483" s="51">
        <f>Larutan[[#This Row],[qtyDist2025]]*Larutan[[#This Row],[hargaSatuan]]</f>
        <v>0</v>
      </c>
      <c r="N483" s="50">
        <v>0</v>
      </c>
      <c r="O483" s="51">
        <f>Larutan[[#This Row],[qtyEd2025]]*Larutan[[#This Row],[hargaSatuan]]</f>
        <v>0</v>
      </c>
      <c r="P483" s="50">
        <v>150</v>
      </c>
      <c r="Q483" s="52">
        <f>Larutan[[#This Row],[qtySaldoAkhir2025]]*Larutan[[#This Row],[hargaSatuan]]</f>
        <v>3217999.9999999949</v>
      </c>
      <c r="S483" s="32">
        <f t="shared" si="14"/>
        <v>3217999.9999999949</v>
      </c>
      <c r="T483" s="32">
        <f t="shared" si="15"/>
        <v>0</v>
      </c>
    </row>
    <row r="484" spans="1:20" ht="14.4" x14ac:dyDescent="0.3">
      <c r="A484" s="44">
        <v>18</v>
      </c>
      <c r="B484" s="45" t="s">
        <v>650</v>
      </c>
      <c r="C484" s="46" t="s">
        <v>38</v>
      </c>
      <c r="D484" s="47">
        <v>1082488</v>
      </c>
      <c r="E484" s="48">
        <v>46569</v>
      </c>
      <c r="F484" s="49">
        <v>60720</v>
      </c>
      <c r="G484" s="45" t="s">
        <v>54</v>
      </c>
      <c r="H484" s="50">
        <v>7</v>
      </c>
      <c r="I484" s="49">
        <f>Larutan[[#This Row],[qtySaldoAwalSem1]]*Larutan[[#This Row],[hargaSatuan]]</f>
        <v>425040</v>
      </c>
      <c r="J484" s="50">
        <v>0</v>
      </c>
      <c r="K484" s="51">
        <f>Larutan[[#This Row],[qtyTerima2025]]*Larutan[[#This Row],[hargaSatuan]]</f>
        <v>0</v>
      </c>
      <c r="L484" s="50">
        <v>7</v>
      </c>
      <c r="M484" s="51">
        <f>Larutan[[#This Row],[qtyDist2025]]*Larutan[[#This Row],[hargaSatuan]]</f>
        <v>425040</v>
      </c>
      <c r="N484" s="50">
        <v>0</v>
      </c>
      <c r="O484" s="51">
        <f>Larutan[[#This Row],[qtyEd2025]]*Larutan[[#This Row],[hargaSatuan]]</f>
        <v>0</v>
      </c>
      <c r="P484" s="50">
        <v>0</v>
      </c>
      <c r="Q484" s="52">
        <f>Larutan[[#This Row],[qtySaldoAkhir2025]]*Larutan[[#This Row],[hargaSatuan]]</f>
        <v>0</v>
      </c>
      <c r="S484" s="32">
        <f t="shared" si="14"/>
        <v>0</v>
      </c>
      <c r="T484" s="32">
        <f t="shared" si="15"/>
        <v>0</v>
      </c>
    </row>
    <row r="485" spans="1:20" ht="14.4" x14ac:dyDescent="0.3">
      <c r="A485" s="44">
        <v>19</v>
      </c>
      <c r="B485" s="45" t="s">
        <v>651</v>
      </c>
      <c r="C485" s="46" t="s">
        <v>413</v>
      </c>
      <c r="D485" s="47" t="s">
        <v>652</v>
      </c>
      <c r="E485" s="48">
        <v>46143</v>
      </c>
      <c r="F485" s="49">
        <v>4218</v>
      </c>
      <c r="G485" s="45" t="s">
        <v>54</v>
      </c>
      <c r="H485" s="50">
        <v>260</v>
      </c>
      <c r="I485" s="49">
        <f>Larutan[[#This Row],[qtySaldoAwalSem1]]*Larutan[[#This Row],[hargaSatuan]]</f>
        <v>1096680</v>
      </c>
      <c r="J485" s="50">
        <v>0</v>
      </c>
      <c r="K485" s="51">
        <f>Larutan[[#This Row],[qtyTerima2025]]*Larutan[[#This Row],[hargaSatuan]]</f>
        <v>0</v>
      </c>
      <c r="L485" s="50">
        <v>260</v>
      </c>
      <c r="M485" s="51">
        <f>Larutan[[#This Row],[qtyDist2025]]*Larutan[[#This Row],[hargaSatuan]]</f>
        <v>1096680</v>
      </c>
      <c r="N485" s="50">
        <v>0</v>
      </c>
      <c r="O485" s="51">
        <f>Larutan[[#This Row],[qtyEd2025]]*Larutan[[#This Row],[hargaSatuan]]</f>
        <v>0</v>
      </c>
      <c r="P485" s="50">
        <v>0</v>
      </c>
      <c r="Q485" s="52">
        <f>Larutan[[#This Row],[qtySaldoAkhir2025]]*Larutan[[#This Row],[hargaSatuan]]</f>
        <v>0</v>
      </c>
      <c r="S485" s="32">
        <f t="shared" si="14"/>
        <v>0</v>
      </c>
      <c r="T485" s="32">
        <f t="shared" si="15"/>
        <v>0</v>
      </c>
    </row>
    <row r="486" spans="1:20" ht="14.4" x14ac:dyDescent="0.3">
      <c r="A486" s="44">
        <v>20</v>
      </c>
      <c r="B486" s="45" t="s">
        <v>651</v>
      </c>
      <c r="C486" s="46" t="s">
        <v>413</v>
      </c>
      <c r="D486" s="47" t="s">
        <v>653</v>
      </c>
      <c r="E486" s="48">
        <v>46296</v>
      </c>
      <c r="F486" s="49">
        <v>4329</v>
      </c>
      <c r="G486" s="45" t="s">
        <v>17</v>
      </c>
      <c r="H486" s="50">
        <v>500</v>
      </c>
      <c r="I486" s="49">
        <f>Larutan[[#This Row],[qtySaldoAwalSem1]]*Larutan[[#This Row],[hargaSatuan]]</f>
        <v>2164500</v>
      </c>
      <c r="J486" s="50">
        <v>0</v>
      </c>
      <c r="K486" s="51">
        <f>Larutan[[#This Row],[qtyTerima2025]]*Larutan[[#This Row],[hargaSatuan]]</f>
        <v>0</v>
      </c>
      <c r="L486" s="50">
        <v>500</v>
      </c>
      <c r="M486" s="51">
        <f>Larutan[[#This Row],[qtyDist2025]]*Larutan[[#This Row],[hargaSatuan]]</f>
        <v>2164500</v>
      </c>
      <c r="N486" s="50">
        <v>0</v>
      </c>
      <c r="O486" s="51">
        <f>Larutan[[#This Row],[qtyEd2025]]*Larutan[[#This Row],[hargaSatuan]]</f>
        <v>0</v>
      </c>
      <c r="P486" s="50">
        <v>0</v>
      </c>
      <c r="Q486" s="52">
        <f>Larutan[[#This Row],[qtySaldoAkhir2025]]*Larutan[[#This Row],[hargaSatuan]]</f>
        <v>0</v>
      </c>
      <c r="S486" s="32">
        <f t="shared" si="14"/>
        <v>0</v>
      </c>
      <c r="T486" s="32">
        <f t="shared" si="15"/>
        <v>0</v>
      </c>
    </row>
    <row r="487" spans="1:20" ht="14.4" x14ac:dyDescent="0.3">
      <c r="A487" s="44">
        <v>21</v>
      </c>
      <c r="B487" s="45" t="s">
        <v>654</v>
      </c>
      <c r="C487" s="46" t="s">
        <v>38</v>
      </c>
      <c r="D487" s="47" t="s">
        <v>655</v>
      </c>
      <c r="E487" s="48">
        <v>46143</v>
      </c>
      <c r="F487" s="49">
        <v>7125</v>
      </c>
      <c r="G487" s="45" t="s">
        <v>54</v>
      </c>
      <c r="H487" s="50">
        <v>780</v>
      </c>
      <c r="I487" s="49">
        <f>Larutan[[#This Row],[qtySaldoAwalSem1]]*Larutan[[#This Row],[hargaSatuan]]</f>
        <v>5557500</v>
      </c>
      <c r="J487" s="50">
        <v>0</v>
      </c>
      <c r="K487" s="51">
        <f>Larutan[[#This Row],[qtyTerima2025]]*Larutan[[#This Row],[hargaSatuan]]</f>
        <v>0</v>
      </c>
      <c r="L487" s="50">
        <v>780</v>
      </c>
      <c r="M487" s="51">
        <f>Larutan[[#This Row],[qtyDist2025]]*Larutan[[#This Row],[hargaSatuan]]</f>
        <v>5557500</v>
      </c>
      <c r="N487" s="50">
        <v>0</v>
      </c>
      <c r="O487" s="51">
        <f>Larutan[[#This Row],[qtyEd2025]]*Larutan[[#This Row],[hargaSatuan]]</f>
        <v>0</v>
      </c>
      <c r="P487" s="50">
        <v>0</v>
      </c>
      <c r="Q487" s="52">
        <f>Larutan[[#This Row],[qtySaldoAkhir2025]]*Larutan[[#This Row],[hargaSatuan]]</f>
        <v>0</v>
      </c>
      <c r="S487" s="32">
        <f t="shared" si="14"/>
        <v>0</v>
      </c>
      <c r="T487" s="32">
        <f t="shared" si="15"/>
        <v>0</v>
      </c>
    </row>
    <row r="488" spans="1:20" ht="14.4" x14ac:dyDescent="0.3">
      <c r="A488" s="44">
        <v>22</v>
      </c>
      <c r="B488" s="45" t="s">
        <v>656</v>
      </c>
      <c r="C488" s="46" t="s">
        <v>38</v>
      </c>
      <c r="D488" s="47">
        <v>340602</v>
      </c>
      <c r="E488" s="48">
        <v>46143</v>
      </c>
      <c r="F488" s="49">
        <v>7673</v>
      </c>
      <c r="G488" s="45" t="s">
        <v>17</v>
      </c>
      <c r="H488" s="50">
        <v>4</v>
      </c>
      <c r="I488" s="49">
        <f>Larutan[[#This Row],[qtySaldoAwalSem1]]*Larutan[[#This Row],[hargaSatuan]]</f>
        <v>30692</v>
      </c>
      <c r="J488" s="50">
        <v>0</v>
      </c>
      <c r="K488" s="51">
        <f>Larutan[[#This Row],[qtyTerima2025]]*Larutan[[#This Row],[hargaSatuan]]</f>
        <v>0</v>
      </c>
      <c r="L488" s="50">
        <v>4</v>
      </c>
      <c r="M488" s="51">
        <f>Larutan[[#This Row],[qtyDist2025]]*Larutan[[#This Row],[hargaSatuan]]</f>
        <v>30692</v>
      </c>
      <c r="N488" s="50">
        <v>0</v>
      </c>
      <c r="O488" s="51">
        <f>Larutan[[#This Row],[qtyEd2025]]*Larutan[[#This Row],[hargaSatuan]]</f>
        <v>0</v>
      </c>
      <c r="P488" s="50">
        <v>0</v>
      </c>
      <c r="Q488" s="52">
        <f>Larutan[[#This Row],[qtySaldoAkhir2025]]*Larutan[[#This Row],[hargaSatuan]]</f>
        <v>0</v>
      </c>
      <c r="S488" s="32">
        <f t="shared" si="14"/>
        <v>0</v>
      </c>
      <c r="T488" s="32">
        <f t="shared" si="15"/>
        <v>0</v>
      </c>
    </row>
    <row r="489" spans="1:20" ht="14.4" x14ac:dyDescent="0.3">
      <c r="A489" s="44">
        <v>23</v>
      </c>
      <c r="B489" s="45" t="s">
        <v>656</v>
      </c>
      <c r="C489" s="46" t="s">
        <v>38</v>
      </c>
      <c r="D489" s="47" t="s">
        <v>657</v>
      </c>
      <c r="E489" s="48">
        <v>46266</v>
      </c>
      <c r="F489" s="49">
        <v>7673</v>
      </c>
      <c r="G489" s="45" t="s">
        <v>43</v>
      </c>
      <c r="H489" s="50">
        <v>420</v>
      </c>
      <c r="I489" s="49">
        <f>Larutan[[#This Row],[qtySaldoAwalSem1]]*Larutan[[#This Row],[hargaSatuan]]</f>
        <v>3222660</v>
      </c>
      <c r="J489" s="50">
        <v>0</v>
      </c>
      <c r="K489" s="51">
        <f>Larutan[[#This Row],[qtyTerima2025]]*Larutan[[#This Row],[hargaSatuan]]</f>
        <v>0</v>
      </c>
      <c r="L489" s="50">
        <v>420</v>
      </c>
      <c r="M489" s="51">
        <f>Larutan[[#This Row],[qtyDist2025]]*Larutan[[#This Row],[hargaSatuan]]</f>
        <v>3222660</v>
      </c>
      <c r="N489" s="50">
        <v>0</v>
      </c>
      <c r="O489" s="51">
        <f>Larutan[[#This Row],[qtyEd2025]]*Larutan[[#This Row],[hargaSatuan]]</f>
        <v>0</v>
      </c>
      <c r="P489" s="50">
        <v>0</v>
      </c>
      <c r="Q489" s="52">
        <f>Larutan[[#This Row],[qtySaldoAkhir2025]]*Larutan[[#This Row],[hargaSatuan]]</f>
        <v>0</v>
      </c>
      <c r="S489" s="32">
        <f t="shared" si="14"/>
        <v>0</v>
      </c>
      <c r="T489" s="32">
        <f t="shared" si="15"/>
        <v>0</v>
      </c>
    </row>
    <row r="490" spans="1:20" ht="14.4" x14ac:dyDescent="0.3">
      <c r="A490" s="44">
        <v>24</v>
      </c>
      <c r="B490" s="45" t="s">
        <v>656</v>
      </c>
      <c r="C490" s="46" t="s">
        <v>38</v>
      </c>
      <c r="D490" s="47">
        <v>450304</v>
      </c>
      <c r="E490" s="48">
        <v>46419</v>
      </c>
      <c r="F490" s="49">
        <v>7673</v>
      </c>
      <c r="G490" s="45" t="s">
        <v>18</v>
      </c>
      <c r="H490" s="50">
        <v>0</v>
      </c>
      <c r="I490" s="49">
        <f>Larutan[[#This Row],[qtySaldoAwalSem1]]*Larutan[[#This Row],[hargaSatuan]]</f>
        <v>0</v>
      </c>
      <c r="J490" s="50">
        <v>4000</v>
      </c>
      <c r="K490" s="51">
        <f>Larutan[[#This Row],[qtyTerima2025]]*Larutan[[#This Row],[hargaSatuan]]</f>
        <v>30692000</v>
      </c>
      <c r="L490" s="50">
        <v>2840</v>
      </c>
      <c r="M490" s="51">
        <f>Larutan[[#This Row],[qtyDist2025]]*Larutan[[#This Row],[hargaSatuan]]</f>
        <v>21791320</v>
      </c>
      <c r="N490" s="50">
        <v>0</v>
      </c>
      <c r="O490" s="51">
        <f>Larutan[[#This Row],[qtyEd2025]]*Larutan[[#This Row],[hargaSatuan]]</f>
        <v>0</v>
      </c>
      <c r="P490" s="50">
        <v>1160</v>
      </c>
      <c r="Q490" s="52">
        <f>Larutan[[#This Row],[qtySaldoAkhir2025]]*Larutan[[#This Row],[hargaSatuan]]</f>
        <v>8900680</v>
      </c>
      <c r="S490" s="32">
        <f t="shared" si="14"/>
        <v>8900680</v>
      </c>
      <c r="T490" s="32">
        <f t="shared" si="15"/>
        <v>0</v>
      </c>
    </row>
    <row r="491" spans="1:20" ht="14.4" x14ac:dyDescent="0.3">
      <c r="A491" s="44">
        <v>25</v>
      </c>
      <c r="B491" s="45" t="s">
        <v>658</v>
      </c>
      <c r="C491" s="46" t="s">
        <v>38</v>
      </c>
      <c r="D491" s="47" t="s">
        <v>659</v>
      </c>
      <c r="E491" s="48">
        <v>46266</v>
      </c>
      <c r="F491" s="49">
        <v>16640</v>
      </c>
      <c r="G491" s="45" t="s">
        <v>54</v>
      </c>
      <c r="H491" s="50">
        <v>478</v>
      </c>
      <c r="I491" s="49">
        <f>Larutan[[#This Row],[qtySaldoAwalSem1]]*Larutan[[#This Row],[hargaSatuan]]</f>
        <v>7953920</v>
      </c>
      <c r="J491" s="50">
        <v>0</v>
      </c>
      <c r="K491" s="51">
        <f>Larutan[[#This Row],[qtyTerima2025]]*Larutan[[#This Row],[hargaSatuan]]</f>
        <v>0</v>
      </c>
      <c r="L491" s="50">
        <v>478</v>
      </c>
      <c r="M491" s="51">
        <f>Larutan[[#This Row],[qtyDist2025]]*Larutan[[#This Row],[hargaSatuan]]</f>
        <v>7953920</v>
      </c>
      <c r="N491" s="50">
        <v>0</v>
      </c>
      <c r="O491" s="51">
        <f>Larutan[[#This Row],[qtyEd2025]]*Larutan[[#This Row],[hargaSatuan]]</f>
        <v>0</v>
      </c>
      <c r="P491" s="50">
        <v>0</v>
      </c>
      <c r="Q491" s="52">
        <f>Larutan[[#This Row],[qtySaldoAkhir2025]]*Larutan[[#This Row],[hargaSatuan]]</f>
        <v>0</v>
      </c>
      <c r="S491" s="32">
        <f t="shared" si="14"/>
        <v>0</v>
      </c>
      <c r="T491" s="32">
        <f t="shared" si="15"/>
        <v>0</v>
      </c>
    </row>
    <row r="492" spans="1:20" ht="14.4" x14ac:dyDescent="0.3">
      <c r="A492" s="44">
        <v>26</v>
      </c>
      <c r="B492" s="45" t="s">
        <v>658</v>
      </c>
      <c r="C492" s="46" t="s">
        <v>38</v>
      </c>
      <c r="D492" s="47" t="s">
        <v>660</v>
      </c>
      <c r="E492" s="48">
        <v>46266</v>
      </c>
      <c r="F492" s="49">
        <v>16640</v>
      </c>
      <c r="G492" s="45" t="s">
        <v>54</v>
      </c>
      <c r="H492" s="50">
        <v>1400</v>
      </c>
      <c r="I492" s="49">
        <f>Larutan[[#This Row],[qtySaldoAwalSem1]]*Larutan[[#This Row],[hargaSatuan]]</f>
        <v>23296000</v>
      </c>
      <c r="J492" s="50">
        <v>0</v>
      </c>
      <c r="K492" s="51">
        <f>Larutan[[#This Row],[qtyTerima2025]]*Larutan[[#This Row],[hargaSatuan]]</f>
        <v>0</v>
      </c>
      <c r="L492" s="50">
        <v>980</v>
      </c>
      <c r="M492" s="51">
        <f>Larutan[[#This Row],[qtyDist2025]]*Larutan[[#This Row],[hargaSatuan]]</f>
        <v>16307200</v>
      </c>
      <c r="N492" s="50">
        <v>0</v>
      </c>
      <c r="O492" s="51">
        <f>Larutan[[#This Row],[qtyEd2025]]*Larutan[[#This Row],[hargaSatuan]]</f>
        <v>0</v>
      </c>
      <c r="P492" s="50">
        <v>420</v>
      </c>
      <c r="Q492" s="52">
        <f>Larutan[[#This Row],[qtySaldoAkhir2025]]*Larutan[[#This Row],[hargaSatuan]]</f>
        <v>6988800</v>
      </c>
      <c r="S492" s="32">
        <f t="shared" si="14"/>
        <v>6988800</v>
      </c>
      <c r="T492" s="32">
        <f t="shared" si="15"/>
        <v>0</v>
      </c>
    </row>
    <row r="493" spans="1:20" ht="14.4" x14ac:dyDescent="0.3">
      <c r="A493" s="44">
        <v>28</v>
      </c>
      <c r="B493" s="45" t="s">
        <v>661</v>
      </c>
      <c r="C493" s="46" t="s">
        <v>38</v>
      </c>
      <c r="D493" s="47">
        <v>340512</v>
      </c>
      <c r="E493" s="48">
        <v>46113</v>
      </c>
      <c r="F493" s="49">
        <v>8498</v>
      </c>
      <c r="G493" s="45" t="s">
        <v>54</v>
      </c>
      <c r="H493" s="50">
        <v>4448</v>
      </c>
      <c r="I493" s="49">
        <f>Larutan[[#This Row],[qtySaldoAwalSem1]]*Larutan[[#This Row],[hargaSatuan]]</f>
        <v>37799104</v>
      </c>
      <c r="J493" s="50">
        <v>0</v>
      </c>
      <c r="K493" s="51">
        <f>Larutan[[#This Row],[qtyTerima2025]]*Larutan[[#This Row],[hargaSatuan]]</f>
        <v>0</v>
      </c>
      <c r="L493" s="50">
        <v>4448</v>
      </c>
      <c r="M493" s="51">
        <f>Larutan[[#This Row],[qtyDist2025]]*Larutan[[#This Row],[hargaSatuan]]</f>
        <v>37799104</v>
      </c>
      <c r="N493" s="50">
        <v>0</v>
      </c>
      <c r="O493" s="51">
        <f>Larutan[[#This Row],[qtyEd2025]]*Larutan[[#This Row],[hargaSatuan]]</f>
        <v>0</v>
      </c>
      <c r="P493" s="50">
        <v>0</v>
      </c>
      <c r="Q493" s="52">
        <f>Larutan[[#This Row],[qtySaldoAkhir2025]]*Larutan[[#This Row],[hargaSatuan]]</f>
        <v>0</v>
      </c>
      <c r="S493" s="32">
        <f t="shared" si="14"/>
        <v>0</v>
      </c>
      <c r="T493" s="32">
        <f t="shared" si="15"/>
        <v>0</v>
      </c>
    </row>
    <row r="494" spans="1:20" ht="14.4" x14ac:dyDescent="0.3">
      <c r="A494" s="44">
        <v>29</v>
      </c>
      <c r="B494" s="45" t="s">
        <v>661</v>
      </c>
      <c r="C494" s="46" t="s">
        <v>38</v>
      </c>
      <c r="D494" s="47">
        <v>550104</v>
      </c>
      <c r="E494" s="48">
        <v>46357</v>
      </c>
      <c r="F494" s="49">
        <v>8498</v>
      </c>
      <c r="G494" s="45" t="s">
        <v>41</v>
      </c>
      <c r="H494" s="50">
        <v>0</v>
      </c>
      <c r="I494" s="49">
        <f>Larutan[[#This Row],[qtySaldoAwalSem1]]*Larutan[[#This Row],[hargaSatuan]]</f>
        <v>0</v>
      </c>
      <c r="J494" s="50">
        <v>3620</v>
      </c>
      <c r="K494" s="51">
        <f>Larutan[[#This Row],[qtyTerima2025]]*Larutan[[#This Row],[hargaSatuan]]</f>
        <v>30762760</v>
      </c>
      <c r="L494" s="50">
        <v>3620</v>
      </c>
      <c r="M494" s="51">
        <f>Larutan[[#This Row],[qtyDist2025]]*Larutan[[#This Row],[hargaSatuan]]</f>
        <v>30762760</v>
      </c>
      <c r="N494" s="50">
        <v>0</v>
      </c>
      <c r="O494" s="51">
        <f>Larutan[[#This Row],[qtyEd2025]]*Larutan[[#This Row],[hargaSatuan]]</f>
        <v>0</v>
      </c>
      <c r="P494" s="50">
        <v>0</v>
      </c>
      <c r="Q494" s="52">
        <f>Larutan[[#This Row],[qtySaldoAkhir2025]]*Larutan[[#This Row],[hargaSatuan]]</f>
        <v>0</v>
      </c>
      <c r="S494" s="32">
        <f t="shared" si="14"/>
        <v>0</v>
      </c>
      <c r="T494" s="32">
        <f t="shared" si="15"/>
        <v>0</v>
      </c>
    </row>
    <row r="495" spans="1:20" ht="14.4" x14ac:dyDescent="0.3">
      <c r="A495" s="44">
        <v>30</v>
      </c>
      <c r="B495" s="45" t="s">
        <v>661</v>
      </c>
      <c r="C495" s="46" t="s">
        <v>38</v>
      </c>
      <c r="D495" s="47">
        <v>350308</v>
      </c>
      <c r="E495" s="48">
        <v>46419</v>
      </c>
      <c r="F495" s="49">
        <v>8498</v>
      </c>
      <c r="G495" s="45" t="s">
        <v>41</v>
      </c>
      <c r="H495" s="50">
        <v>0</v>
      </c>
      <c r="I495" s="49">
        <f>Larutan[[#This Row],[qtySaldoAwalSem1]]*Larutan[[#This Row],[hargaSatuan]]</f>
        <v>0</v>
      </c>
      <c r="J495" s="50">
        <v>10720</v>
      </c>
      <c r="K495" s="51">
        <f>Larutan[[#This Row],[qtyTerima2025]]*Larutan[[#This Row],[hargaSatuan]]</f>
        <v>91098560</v>
      </c>
      <c r="L495" s="50">
        <v>10520</v>
      </c>
      <c r="M495" s="51">
        <f>Larutan[[#This Row],[qtyDist2025]]*Larutan[[#This Row],[hargaSatuan]]</f>
        <v>89398960</v>
      </c>
      <c r="N495" s="50">
        <v>0</v>
      </c>
      <c r="O495" s="51">
        <f>Larutan[[#This Row],[qtyEd2025]]*Larutan[[#This Row],[hargaSatuan]]</f>
        <v>0</v>
      </c>
      <c r="P495" s="50">
        <v>200</v>
      </c>
      <c r="Q495" s="52">
        <f>Larutan[[#This Row],[qtySaldoAkhir2025]]*Larutan[[#This Row],[hargaSatuan]]</f>
        <v>1699600</v>
      </c>
      <c r="S495" s="32">
        <f t="shared" si="14"/>
        <v>1699600</v>
      </c>
      <c r="T495" s="32">
        <f t="shared" si="15"/>
        <v>0</v>
      </c>
    </row>
    <row r="496" spans="1:20" ht="14.4" x14ac:dyDescent="0.3">
      <c r="A496" s="44"/>
      <c r="B496" s="45" t="s">
        <v>661</v>
      </c>
      <c r="C496" s="46" t="s">
        <v>38</v>
      </c>
      <c r="D496" s="47">
        <v>450704</v>
      </c>
      <c r="E496" s="85">
        <v>47270</v>
      </c>
      <c r="F496" s="49">
        <v>8498</v>
      </c>
      <c r="G496" s="45" t="s">
        <v>18</v>
      </c>
      <c r="H496" s="50">
        <v>0</v>
      </c>
      <c r="I496" s="49">
        <f>Larutan[[#This Row],[qtySaldoAwalSem1]]*Larutan[[#This Row],[hargaSatuan]]</f>
        <v>0</v>
      </c>
      <c r="J496" s="50">
        <v>5620</v>
      </c>
      <c r="K496" s="51">
        <f>Larutan[[#This Row],[qtyTerima2025]]*Larutan[[#This Row],[hargaSatuan]]</f>
        <v>47758760</v>
      </c>
      <c r="L496" s="50">
        <v>1530</v>
      </c>
      <c r="M496" s="51">
        <f>Larutan[[#This Row],[qtyDist2025]]*Larutan[[#This Row],[hargaSatuan]]</f>
        <v>13001940</v>
      </c>
      <c r="N496" s="50">
        <v>0</v>
      </c>
      <c r="O496" s="51">
        <f>Larutan[[#This Row],[qtyEd2025]]*Larutan[[#This Row],[hargaSatuan]]</f>
        <v>0</v>
      </c>
      <c r="P496" s="50">
        <v>4090</v>
      </c>
      <c r="Q496" s="52">
        <f>Larutan[[#This Row],[qtySaldoAkhir2025]]*Larutan[[#This Row],[hargaSatuan]]</f>
        <v>34756820</v>
      </c>
      <c r="S496" s="32">
        <f t="shared" si="14"/>
        <v>34756820</v>
      </c>
      <c r="T496" s="32">
        <f t="shared" si="15"/>
        <v>0</v>
      </c>
    </row>
    <row r="497" spans="1:20" ht="14.4" x14ac:dyDescent="0.3">
      <c r="A497" s="44">
        <v>31</v>
      </c>
      <c r="B497" s="45" t="s">
        <v>662</v>
      </c>
      <c r="C497" s="46" t="s">
        <v>38</v>
      </c>
      <c r="D497" s="47">
        <v>24013013</v>
      </c>
      <c r="E497" s="48">
        <v>47088</v>
      </c>
      <c r="F497" s="49">
        <v>9531.5</v>
      </c>
      <c r="G497" s="45" t="s">
        <v>54</v>
      </c>
      <c r="H497" s="50">
        <v>194</v>
      </c>
      <c r="I497" s="49">
        <f>Larutan[[#This Row],[qtySaldoAwalSem1]]*Larutan[[#This Row],[hargaSatuan]]</f>
        <v>1849111</v>
      </c>
      <c r="J497" s="50">
        <v>0</v>
      </c>
      <c r="K497" s="51">
        <f>Larutan[[#This Row],[qtyTerima2025]]*Larutan[[#This Row],[hargaSatuan]]</f>
        <v>0</v>
      </c>
      <c r="L497" s="50">
        <v>135</v>
      </c>
      <c r="M497" s="51">
        <f>Larutan[[#This Row],[qtyDist2025]]*Larutan[[#This Row],[hargaSatuan]]</f>
        <v>1286752.5</v>
      </c>
      <c r="N497" s="50">
        <v>0</v>
      </c>
      <c r="O497" s="51">
        <f>Larutan[[#This Row],[qtyEd2025]]*Larutan[[#This Row],[hargaSatuan]]</f>
        <v>0</v>
      </c>
      <c r="P497" s="50">
        <v>59</v>
      </c>
      <c r="Q497" s="52">
        <f>Larutan[[#This Row],[qtySaldoAkhir2025]]*Larutan[[#This Row],[hargaSatuan]]</f>
        <v>562358.5</v>
      </c>
      <c r="S497" s="32">
        <f t="shared" si="14"/>
        <v>562358.5</v>
      </c>
      <c r="T497" s="32">
        <f t="shared" si="15"/>
        <v>0</v>
      </c>
    </row>
    <row r="498" spans="1:20" ht="14.4" x14ac:dyDescent="0.3">
      <c r="A498" s="44">
        <v>32</v>
      </c>
      <c r="B498" s="45" t="s">
        <v>663</v>
      </c>
      <c r="C498" s="46" t="s">
        <v>413</v>
      </c>
      <c r="D498" s="47">
        <v>4851723</v>
      </c>
      <c r="E498" s="48">
        <v>46600</v>
      </c>
      <c r="F498" s="49">
        <v>5280.27</v>
      </c>
      <c r="G498" s="45" t="s">
        <v>18</v>
      </c>
      <c r="H498" s="50">
        <v>0</v>
      </c>
      <c r="I498" s="49">
        <f>Larutan[[#This Row],[qtySaldoAwalSem1]]*Larutan[[#This Row],[hargaSatuan]]</f>
        <v>0</v>
      </c>
      <c r="J498" s="50">
        <v>5000</v>
      </c>
      <c r="K498" s="51">
        <f>Larutan[[#This Row],[qtyTerima2025]]*Larutan[[#This Row],[hargaSatuan]]</f>
        <v>26401350.000000004</v>
      </c>
      <c r="L498" s="50">
        <v>600</v>
      </c>
      <c r="M498" s="51">
        <f>Larutan[[#This Row],[qtyDist2025]]*Larutan[[#This Row],[hargaSatuan]]</f>
        <v>3168162.0000000005</v>
      </c>
      <c r="N498" s="50">
        <v>0</v>
      </c>
      <c r="O498" s="51">
        <f>Larutan[[#This Row],[qtyEd2025]]*Larutan[[#This Row],[hargaSatuan]]</f>
        <v>0</v>
      </c>
      <c r="P498" s="50">
        <v>4400</v>
      </c>
      <c r="Q498" s="52">
        <f>Larutan[[#This Row],[qtySaldoAkhir2025]]*Larutan[[#This Row],[hargaSatuan]]</f>
        <v>23233188.000000004</v>
      </c>
      <c r="S498" s="32">
        <f t="shared" si="14"/>
        <v>23233188.000000004</v>
      </c>
      <c r="T498" s="32">
        <f t="shared" si="15"/>
        <v>0</v>
      </c>
    </row>
    <row r="499" spans="1:20" ht="14.4" x14ac:dyDescent="0.3">
      <c r="A499" s="44">
        <v>33</v>
      </c>
      <c r="B499" s="45" t="s">
        <v>663</v>
      </c>
      <c r="C499" s="46" t="s">
        <v>413</v>
      </c>
      <c r="D499" s="47">
        <v>4350597</v>
      </c>
      <c r="E499" s="48">
        <v>46419</v>
      </c>
      <c r="F499" s="49">
        <v>5280</v>
      </c>
      <c r="G499" s="45" t="s">
        <v>18</v>
      </c>
      <c r="H499" s="50">
        <v>0</v>
      </c>
      <c r="I499" s="49">
        <f>Larutan[[#This Row],[qtySaldoAwalSem1]]*Larutan[[#This Row],[hargaSatuan]]</f>
        <v>0</v>
      </c>
      <c r="J499" s="50">
        <v>700</v>
      </c>
      <c r="K499" s="51">
        <f>Larutan[[#This Row],[qtyTerima2025]]*Larutan[[#This Row],[hargaSatuan]]</f>
        <v>3696000</v>
      </c>
      <c r="L499" s="50">
        <v>700</v>
      </c>
      <c r="M499" s="51">
        <f>Larutan[[#This Row],[qtyDist2025]]*Larutan[[#This Row],[hargaSatuan]]</f>
        <v>3696000</v>
      </c>
      <c r="N499" s="50">
        <v>0</v>
      </c>
      <c r="O499" s="51">
        <f>Larutan[[#This Row],[qtyEd2025]]*Larutan[[#This Row],[hargaSatuan]]</f>
        <v>0</v>
      </c>
      <c r="P499" s="50">
        <v>0</v>
      </c>
      <c r="Q499" s="52">
        <f>Larutan[[#This Row],[qtySaldoAkhir2025]]*Larutan[[#This Row],[hargaSatuan]]</f>
        <v>0</v>
      </c>
      <c r="S499" s="32">
        <f t="shared" si="14"/>
        <v>0</v>
      </c>
      <c r="T499" s="32">
        <f t="shared" si="15"/>
        <v>0</v>
      </c>
    </row>
    <row r="500" spans="1:20" ht="14.4" x14ac:dyDescent="0.3">
      <c r="A500" s="59">
        <v>34</v>
      </c>
      <c r="B500" s="60" t="s">
        <v>663</v>
      </c>
      <c r="C500" s="61" t="s">
        <v>413</v>
      </c>
      <c r="D500" s="62" t="s">
        <v>664</v>
      </c>
      <c r="E500" s="63">
        <v>46235</v>
      </c>
      <c r="F500" s="64">
        <v>4440</v>
      </c>
      <c r="G500" s="60" t="s">
        <v>54</v>
      </c>
      <c r="H500" s="65">
        <v>440</v>
      </c>
      <c r="I500" s="49">
        <f>Larutan[[#This Row],[qtySaldoAwalSem1]]*Larutan[[#This Row],[hargaSatuan]]</f>
        <v>1953600</v>
      </c>
      <c r="J500" s="65">
        <v>0</v>
      </c>
      <c r="K500" s="51">
        <f>Larutan[[#This Row],[qtyTerima2025]]*Larutan[[#This Row],[hargaSatuan]]</f>
        <v>0</v>
      </c>
      <c r="L500" s="65">
        <v>440</v>
      </c>
      <c r="M500" s="51">
        <f>Larutan[[#This Row],[qtyDist2025]]*Larutan[[#This Row],[hargaSatuan]]</f>
        <v>1953600</v>
      </c>
      <c r="N500" s="65">
        <v>0</v>
      </c>
      <c r="O500" s="51">
        <f>Larutan[[#This Row],[qtyEd2025]]*Larutan[[#This Row],[hargaSatuan]]</f>
        <v>0</v>
      </c>
      <c r="P500" s="65">
        <v>0</v>
      </c>
      <c r="Q500" s="52">
        <f>Larutan[[#This Row],[qtySaldoAkhir2025]]*Larutan[[#This Row],[hargaSatuan]]</f>
        <v>0</v>
      </c>
      <c r="S500" s="32">
        <f t="shared" si="14"/>
        <v>0</v>
      </c>
      <c r="T500" s="32">
        <f t="shared" si="15"/>
        <v>0</v>
      </c>
    </row>
    <row r="501" spans="1:20" ht="14.4" x14ac:dyDescent="0.3">
      <c r="A501" s="83"/>
      <c r="B501" s="27" t="s">
        <v>665</v>
      </c>
      <c r="C501" s="26"/>
      <c r="D501" s="28"/>
      <c r="E501" s="29"/>
      <c r="F501" s="30"/>
      <c r="G501" s="27"/>
      <c r="H501" s="31"/>
      <c r="I501" s="30">
        <f>SUBTOTAL(9,Vaksin[nomSaldoAwalSem1])</f>
        <v>107100542.36</v>
      </c>
      <c r="J501" s="30"/>
      <c r="K501" s="30">
        <f>SUBTOTAL(9,Vaksin[nomTerima2025])</f>
        <v>4138792077.73</v>
      </c>
      <c r="L501" s="30"/>
      <c r="M501" s="30">
        <f>SUBTOTAL(9,Vaksin[nomDist2025])</f>
        <v>3932440682.1199999</v>
      </c>
      <c r="N501" s="30"/>
      <c r="O501" s="30">
        <f>SUBTOTAL(9,Vaksin[nomEd2025])</f>
        <v>15713406</v>
      </c>
      <c r="P501" s="30"/>
      <c r="Q501" s="30">
        <f>SUBTOTAL(9,Vaksin[nomSaldoAkhir2025])</f>
        <v>297738531.97000003</v>
      </c>
      <c r="S501" s="32">
        <f t="shared" si="14"/>
        <v>297738531.97000027</v>
      </c>
      <c r="T501" s="32">
        <f t="shared" si="15"/>
        <v>-2.384185791015625E-7</v>
      </c>
    </row>
    <row r="502" spans="1:20" ht="14.4" x14ac:dyDescent="0.3">
      <c r="A502" s="35" t="s">
        <v>19</v>
      </c>
      <c r="B502" s="36" t="s">
        <v>20</v>
      </c>
      <c r="C502" s="37" t="s">
        <v>21</v>
      </c>
      <c r="D502" s="38" t="s">
        <v>22</v>
      </c>
      <c r="E502" s="39" t="s">
        <v>23</v>
      </c>
      <c r="F502" s="40" t="s">
        <v>24</v>
      </c>
      <c r="G502" s="36" t="s">
        <v>25</v>
      </c>
      <c r="H502" s="41" t="s">
        <v>26</v>
      </c>
      <c r="I502" s="40" t="s">
        <v>27</v>
      </c>
      <c r="J502" s="41" t="s">
        <v>28</v>
      </c>
      <c r="K502" s="66" t="s">
        <v>29</v>
      </c>
      <c r="L502" s="41" t="s">
        <v>30</v>
      </c>
      <c r="M502" s="66" t="s">
        <v>31</v>
      </c>
      <c r="N502" s="41" t="s">
        <v>32</v>
      </c>
      <c r="O502" s="66" t="s">
        <v>33</v>
      </c>
      <c r="P502" s="41" t="s">
        <v>34</v>
      </c>
      <c r="Q502" s="67" t="s">
        <v>35</v>
      </c>
      <c r="S502" s="32">
        <f t="shared" si="14"/>
        <v>0</v>
      </c>
      <c r="T502" s="32">
        <f t="shared" si="15"/>
        <v>0</v>
      </c>
    </row>
    <row r="503" spans="1:20" ht="14.4" x14ac:dyDescent="0.3">
      <c r="A503" s="44">
        <v>1</v>
      </c>
      <c r="B503" s="45" t="s">
        <v>666</v>
      </c>
      <c r="C503" s="46" t="s">
        <v>408</v>
      </c>
      <c r="D503" s="47">
        <v>4700424</v>
      </c>
      <c r="E503" s="48">
        <v>46296</v>
      </c>
      <c r="F503" s="49">
        <v>792142</v>
      </c>
      <c r="G503" s="45" t="s">
        <v>40</v>
      </c>
      <c r="H503" s="50">
        <v>0</v>
      </c>
      <c r="I503" s="49">
        <f>Vaksin[[#This Row],[qtySaldoAwalSem1]]*Vaksin[[#This Row],[hargaSatuan]]</f>
        <v>0</v>
      </c>
      <c r="J503" s="50">
        <v>7</v>
      </c>
      <c r="K503" s="51">
        <f>Vaksin[[#This Row],[qtyTerima2025]]*Vaksin[[#This Row],[hargaSatuan]]</f>
        <v>5544994</v>
      </c>
      <c r="L503" s="50">
        <v>6</v>
      </c>
      <c r="M503" s="51">
        <f>Vaksin[[#This Row],[qtyDist2025]]*Vaksin[[#This Row],[hargaSatuan]]</f>
        <v>4752852</v>
      </c>
      <c r="N503" s="50">
        <v>0</v>
      </c>
      <c r="O503" s="51">
        <f>Vaksin[[#This Row],[qtyEd2025]]*Vaksin[[#This Row],[hargaSatuan]]</f>
        <v>0</v>
      </c>
      <c r="P503" s="50">
        <v>1</v>
      </c>
      <c r="Q503" s="52">
        <f>Vaksin[[#This Row],[qtySaldoAkhir2025]]*Vaksin[[#This Row],[hargaSatuan]]</f>
        <v>792142</v>
      </c>
      <c r="S503" s="32">
        <f t="shared" si="14"/>
        <v>792142</v>
      </c>
      <c r="T503" s="32">
        <f t="shared" si="15"/>
        <v>0</v>
      </c>
    </row>
    <row r="504" spans="1:20" ht="14.4" x14ac:dyDescent="0.3">
      <c r="A504" s="44">
        <v>2</v>
      </c>
      <c r="B504" s="45" t="s">
        <v>667</v>
      </c>
      <c r="C504" s="46" t="s">
        <v>408</v>
      </c>
      <c r="D504" s="47">
        <v>4201924</v>
      </c>
      <c r="E504" s="48">
        <v>46339</v>
      </c>
      <c r="F504" s="49">
        <v>184676</v>
      </c>
      <c r="G504" s="45" t="s">
        <v>18</v>
      </c>
      <c r="H504" s="50">
        <v>0</v>
      </c>
      <c r="I504" s="49">
        <f>Vaksin[[#This Row],[qtySaldoAwalSem1]]*Vaksin[[#This Row],[hargaSatuan]]</f>
        <v>0</v>
      </c>
      <c r="J504" s="50">
        <v>200</v>
      </c>
      <c r="K504" s="51">
        <f>Vaksin[[#This Row],[qtyTerima2025]]*Vaksin[[#This Row],[hargaSatuan]]</f>
        <v>36935200</v>
      </c>
      <c r="L504" s="50">
        <v>143</v>
      </c>
      <c r="M504" s="51">
        <f>Vaksin[[#This Row],[qtyDist2025]]*Vaksin[[#This Row],[hargaSatuan]]</f>
        <v>26408668</v>
      </c>
      <c r="N504" s="50">
        <v>0</v>
      </c>
      <c r="O504" s="51">
        <f>Vaksin[[#This Row],[qtyEd2025]]*Vaksin[[#This Row],[hargaSatuan]]</f>
        <v>0</v>
      </c>
      <c r="P504" s="50">
        <v>57</v>
      </c>
      <c r="Q504" s="52">
        <f>Vaksin[[#This Row],[qtySaldoAkhir2025]]*Vaksin[[#This Row],[hargaSatuan]]</f>
        <v>10526532</v>
      </c>
      <c r="S504" s="32">
        <f t="shared" si="14"/>
        <v>10526532</v>
      </c>
      <c r="T504" s="32">
        <f t="shared" si="15"/>
        <v>0</v>
      </c>
    </row>
    <row r="505" spans="1:20" ht="14.4" x14ac:dyDescent="0.3">
      <c r="A505" s="44">
        <v>3</v>
      </c>
      <c r="B505" s="45" t="s">
        <v>668</v>
      </c>
      <c r="C505" s="46" t="s">
        <v>408</v>
      </c>
      <c r="D505" s="47" t="s">
        <v>669</v>
      </c>
      <c r="E505" s="48">
        <v>46553</v>
      </c>
      <c r="F505" s="49">
        <v>147211.71</v>
      </c>
      <c r="G505" s="45" t="s">
        <v>40</v>
      </c>
      <c r="H505" s="50">
        <v>0</v>
      </c>
      <c r="I505" s="49">
        <f>Vaksin[[#This Row],[qtySaldoAwalSem1]]*Vaksin[[#This Row],[hargaSatuan]]</f>
        <v>0</v>
      </c>
      <c r="J505" s="50">
        <v>30</v>
      </c>
      <c r="K505" s="51">
        <f>Vaksin[[#This Row],[qtyTerima2025]]*Vaksin[[#This Row],[hargaSatuan]]</f>
        <v>4416351.3</v>
      </c>
      <c r="L505" s="50">
        <v>30</v>
      </c>
      <c r="M505" s="51">
        <f>Vaksin[[#This Row],[qtyDist2025]]*Vaksin[[#This Row],[hargaSatuan]]</f>
        <v>4416351.3</v>
      </c>
      <c r="N505" s="50">
        <v>0</v>
      </c>
      <c r="O505" s="51">
        <f>Vaksin[[#This Row],[qtyEd2025]]*Vaksin[[#This Row],[hargaSatuan]]</f>
        <v>0</v>
      </c>
      <c r="P505" s="50">
        <v>0</v>
      </c>
      <c r="Q505" s="52">
        <f>Vaksin[[#This Row],[qtySaldoAkhir2025]]*Vaksin[[#This Row],[hargaSatuan]]</f>
        <v>0</v>
      </c>
      <c r="S505" s="32">
        <f t="shared" si="14"/>
        <v>0</v>
      </c>
      <c r="T505" s="32">
        <f t="shared" si="15"/>
        <v>0</v>
      </c>
    </row>
    <row r="506" spans="1:20" ht="14.4" x14ac:dyDescent="0.3">
      <c r="A506" s="44">
        <v>4</v>
      </c>
      <c r="B506" s="45" t="s">
        <v>668</v>
      </c>
      <c r="C506" s="46" t="s">
        <v>408</v>
      </c>
      <c r="D506" s="47" t="s">
        <v>670</v>
      </c>
      <c r="E506" s="48">
        <v>46600</v>
      </c>
      <c r="F506" s="49">
        <v>165970</v>
      </c>
      <c r="G506" s="45" t="s">
        <v>40</v>
      </c>
      <c r="H506" s="50">
        <v>0</v>
      </c>
      <c r="I506" s="49">
        <f>Vaksin[[#This Row],[qtySaldoAwalSem1]]*Vaksin[[#This Row],[hargaSatuan]]</f>
        <v>0</v>
      </c>
      <c r="J506" s="50">
        <v>195</v>
      </c>
      <c r="K506" s="51">
        <f>Vaksin[[#This Row],[qtyTerima2025]]*Vaksin[[#This Row],[hargaSatuan]]</f>
        <v>32364150</v>
      </c>
      <c r="L506" s="50">
        <v>195</v>
      </c>
      <c r="M506" s="51">
        <f>Vaksin[[#This Row],[qtyDist2025]]*Vaksin[[#This Row],[hargaSatuan]]</f>
        <v>32364150</v>
      </c>
      <c r="N506" s="50">
        <v>0</v>
      </c>
      <c r="O506" s="51">
        <f>Vaksin[[#This Row],[qtyEd2025]]*Vaksin[[#This Row],[hargaSatuan]]</f>
        <v>0</v>
      </c>
      <c r="P506" s="50">
        <v>0</v>
      </c>
      <c r="Q506" s="52">
        <f>Vaksin[[#This Row],[qtySaldoAkhir2025]]*Vaksin[[#This Row],[hargaSatuan]]</f>
        <v>0</v>
      </c>
      <c r="S506" s="32">
        <f t="shared" si="14"/>
        <v>0</v>
      </c>
      <c r="T506" s="32">
        <f t="shared" si="15"/>
        <v>0</v>
      </c>
    </row>
    <row r="507" spans="1:20" ht="14.4" x14ac:dyDescent="0.3">
      <c r="A507" s="44">
        <v>5</v>
      </c>
      <c r="B507" s="45" t="s">
        <v>671</v>
      </c>
      <c r="C507" s="46" t="s">
        <v>408</v>
      </c>
      <c r="D507" s="47" t="s">
        <v>672</v>
      </c>
      <c r="E507" s="48">
        <v>46082</v>
      </c>
      <c r="F507" s="49">
        <v>95407</v>
      </c>
      <c r="G507" s="45" t="s">
        <v>40</v>
      </c>
      <c r="H507" s="50">
        <v>25</v>
      </c>
      <c r="I507" s="49">
        <f>Vaksin[[#This Row],[qtySaldoAwalSem1]]*Vaksin[[#This Row],[hargaSatuan]]</f>
        <v>2385175</v>
      </c>
      <c r="J507" s="50">
        <v>400</v>
      </c>
      <c r="K507" s="51">
        <f>Vaksin[[#This Row],[qtyTerima2025]]*Vaksin[[#This Row],[hargaSatuan]]</f>
        <v>38162800</v>
      </c>
      <c r="L507" s="50">
        <v>425</v>
      </c>
      <c r="M507" s="51">
        <f>Vaksin[[#This Row],[qtyDist2025]]*Vaksin[[#This Row],[hargaSatuan]]</f>
        <v>40547975</v>
      </c>
      <c r="N507" s="50">
        <v>0</v>
      </c>
      <c r="O507" s="51">
        <f>Vaksin[[#This Row],[qtyEd2025]]*Vaksin[[#This Row],[hargaSatuan]]</f>
        <v>0</v>
      </c>
      <c r="P507" s="50">
        <v>0</v>
      </c>
      <c r="Q507" s="52">
        <f>Vaksin[[#This Row],[qtySaldoAkhir2025]]*Vaksin[[#This Row],[hargaSatuan]]</f>
        <v>0</v>
      </c>
      <c r="S507" s="32">
        <f t="shared" si="14"/>
        <v>0</v>
      </c>
      <c r="T507" s="32">
        <f t="shared" si="15"/>
        <v>0</v>
      </c>
    </row>
    <row r="508" spans="1:20" ht="14.4" x14ac:dyDescent="0.3">
      <c r="A508" s="44">
        <v>6</v>
      </c>
      <c r="B508" s="45" t="s">
        <v>671</v>
      </c>
      <c r="C508" s="46" t="s">
        <v>408</v>
      </c>
      <c r="D508" s="47" t="s">
        <v>673</v>
      </c>
      <c r="E508" s="48">
        <v>46204</v>
      </c>
      <c r="F508" s="49">
        <v>97557.66</v>
      </c>
      <c r="G508" s="45" t="s">
        <v>40</v>
      </c>
      <c r="H508" s="50">
        <v>0</v>
      </c>
      <c r="I508" s="49">
        <f>Vaksin[[#This Row],[qtySaldoAwalSem1]]*Vaksin[[#This Row],[hargaSatuan]]</f>
        <v>0</v>
      </c>
      <c r="J508" s="50">
        <v>50</v>
      </c>
      <c r="K508" s="51">
        <f>Vaksin[[#This Row],[qtyTerima2025]]*Vaksin[[#This Row],[hargaSatuan]]</f>
        <v>4877883</v>
      </c>
      <c r="L508" s="50">
        <v>50</v>
      </c>
      <c r="M508" s="51">
        <f>Vaksin[[#This Row],[qtyDist2025]]*Vaksin[[#This Row],[hargaSatuan]]</f>
        <v>4877883</v>
      </c>
      <c r="N508" s="50">
        <v>0</v>
      </c>
      <c r="O508" s="51">
        <f>Vaksin[[#This Row],[qtyEd2025]]*Vaksin[[#This Row],[hargaSatuan]]</f>
        <v>0</v>
      </c>
      <c r="P508" s="50">
        <v>0</v>
      </c>
      <c r="Q508" s="52">
        <f>Vaksin[[#This Row],[qtySaldoAkhir2025]]*Vaksin[[#This Row],[hargaSatuan]]</f>
        <v>0</v>
      </c>
      <c r="S508" s="32">
        <f t="shared" si="14"/>
        <v>0</v>
      </c>
      <c r="T508" s="32">
        <f t="shared" si="15"/>
        <v>0</v>
      </c>
    </row>
    <row r="509" spans="1:20" ht="14.4" x14ac:dyDescent="0.3">
      <c r="A509" s="44">
        <v>7</v>
      </c>
      <c r="B509" s="45" t="s">
        <v>671</v>
      </c>
      <c r="C509" s="46" t="s">
        <v>408</v>
      </c>
      <c r="D509" s="47" t="s">
        <v>674</v>
      </c>
      <c r="E509" s="48">
        <v>46082</v>
      </c>
      <c r="F509" s="49">
        <v>97557.66</v>
      </c>
      <c r="G509" s="45" t="s">
        <v>40</v>
      </c>
      <c r="H509" s="50">
        <v>0</v>
      </c>
      <c r="I509" s="49">
        <f>Vaksin[[#This Row],[qtySaldoAwalSem1]]*Vaksin[[#This Row],[hargaSatuan]]</f>
        <v>0</v>
      </c>
      <c r="J509" s="50">
        <v>150</v>
      </c>
      <c r="K509" s="51">
        <f>Vaksin[[#This Row],[qtyTerima2025]]*Vaksin[[#This Row],[hargaSatuan]]</f>
        <v>14633649</v>
      </c>
      <c r="L509" s="50">
        <v>150</v>
      </c>
      <c r="M509" s="51">
        <f>Vaksin[[#This Row],[qtyDist2025]]*Vaksin[[#This Row],[hargaSatuan]]</f>
        <v>14633649</v>
      </c>
      <c r="N509" s="50">
        <v>0</v>
      </c>
      <c r="O509" s="51">
        <f>Vaksin[[#This Row],[qtyEd2025]]*Vaksin[[#This Row],[hargaSatuan]]</f>
        <v>0</v>
      </c>
      <c r="P509" s="50">
        <v>0</v>
      </c>
      <c r="Q509" s="52">
        <f>Vaksin[[#This Row],[qtySaldoAkhir2025]]*Vaksin[[#This Row],[hargaSatuan]]</f>
        <v>0</v>
      </c>
      <c r="S509" s="32">
        <f t="shared" si="14"/>
        <v>0</v>
      </c>
      <c r="T509" s="32">
        <f t="shared" si="15"/>
        <v>0</v>
      </c>
    </row>
    <row r="510" spans="1:20" ht="14.4" x14ac:dyDescent="0.3">
      <c r="A510" s="44">
        <v>8</v>
      </c>
      <c r="B510" s="45" t="s">
        <v>671</v>
      </c>
      <c r="C510" s="46" t="s">
        <v>408</v>
      </c>
      <c r="D510" s="47" t="s">
        <v>675</v>
      </c>
      <c r="E510" s="48">
        <v>46082</v>
      </c>
      <c r="F510" s="49">
        <v>97557.66</v>
      </c>
      <c r="G510" s="45" t="s">
        <v>40</v>
      </c>
      <c r="H510" s="50">
        <v>0</v>
      </c>
      <c r="I510" s="49">
        <f>Vaksin[[#This Row],[qtySaldoAwalSem1]]*Vaksin[[#This Row],[hargaSatuan]]</f>
        <v>0</v>
      </c>
      <c r="J510" s="50">
        <v>88</v>
      </c>
      <c r="K510" s="51">
        <f>Vaksin[[#This Row],[qtyTerima2025]]*Vaksin[[#This Row],[hargaSatuan]]</f>
        <v>8585074.0800000001</v>
      </c>
      <c r="L510" s="50">
        <v>88</v>
      </c>
      <c r="M510" s="51">
        <f>Vaksin[[#This Row],[qtyDist2025]]*Vaksin[[#This Row],[hargaSatuan]]</f>
        <v>8585074.0800000001</v>
      </c>
      <c r="N510" s="50">
        <v>0</v>
      </c>
      <c r="O510" s="51">
        <f>Vaksin[[#This Row],[qtyEd2025]]*Vaksin[[#This Row],[hargaSatuan]]</f>
        <v>0</v>
      </c>
      <c r="P510" s="50">
        <v>0</v>
      </c>
      <c r="Q510" s="52">
        <f>Vaksin[[#This Row],[qtySaldoAkhir2025]]*Vaksin[[#This Row],[hargaSatuan]]</f>
        <v>0</v>
      </c>
      <c r="S510" s="32">
        <f t="shared" si="14"/>
        <v>0</v>
      </c>
      <c r="T510" s="32">
        <f t="shared" si="15"/>
        <v>0</v>
      </c>
    </row>
    <row r="511" spans="1:20" ht="14.4" x14ac:dyDescent="0.3">
      <c r="A511" s="44">
        <v>9</v>
      </c>
      <c r="B511" s="45" t="s">
        <v>671</v>
      </c>
      <c r="C511" s="46" t="s">
        <v>408</v>
      </c>
      <c r="D511" s="47" t="s">
        <v>676</v>
      </c>
      <c r="E511" s="48">
        <v>46082</v>
      </c>
      <c r="F511" s="49">
        <v>97557.66</v>
      </c>
      <c r="G511" s="45" t="s">
        <v>40</v>
      </c>
      <c r="H511" s="50">
        <v>0</v>
      </c>
      <c r="I511" s="49">
        <f>Vaksin[[#This Row],[qtySaldoAwalSem1]]*Vaksin[[#This Row],[hargaSatuan]]</f>
        <v>0</v>
      </c>
      <c r="J511" s="50">
        <v>12</v>
      </c>
      <c r="K511" s="51">
        <f>Vaksin[[#This Row],[qtyTerima2025]]*Vaksin[[#This Row],[hargaSatuan]]</f>
        <v>1170691.92</v>
      </c>
      <c r="L511" s="50">
        <v>12</v>
      </c>
      <c r="M511" s="51">
        <f>Vaksin[[#This Row],[qtyDist2025]]*Vaksin[[#This Row],[hargaSatuan]]</f>
        <v>1170691.92</v>
      </c>
      <c r="N511" s="50">
        <v>0</v>
      </c>
      <c r="O511" s="51">
        <f>Vaksin[[#This Row],[qtyEd2025]]*Vaksin[[#This Row],[hargaSatuan]]</f>
        <v>0</v>
      </c>
      <c r="P511" s="50">
        <v>0</v>
      </c>
      <c r="Q511" s="52">
        <f>Vaksin[[#This Row],[qtySaldoAkhir2025]]*Vaksin[[#This Row],[hargaSatuan]]</f>
        <v>0</v>
      </c>
      <c r="S511" s="32">
        <f t="shared" si="14"/>
        <v>0</v>
      </c>
      <c r="T511" s="32">
        <f t="shared" si="15"/>
        <v>0</v>
      </c>
    </row>
    <row r="512" spans="1:20" ht="14.4" x14ac:dyDescent="0.3">
      <c r="A512" s="44">
        <v>10</v>
      </c>
      <c r="B512" s="45" t="s">
        <v>671</v>
      </c>
      <c r="C512" s="46" t="s">
        <v>408</v>
      </c>
      <c r="D512" s="47" t="s">
        <v>677</v>
      </c>
      <c r="E512" s="48">
        <v>46204</v>
      </c>
      <c r="F512" s="49">
        <v>97557.66</v>
      </c>
      <c r="G512" s="45" t="s">
        <v>40</v>
      </c>
      <c r="H512" s="50">
        <v>0</v>
      </c>
      <c r="I512" s="49">
        <f>Vaksin[[#This Row],[qtySaldoAwalSem1]]*Vaksin[[#This Row],[hargaSatuan]]</f>
        <v>0</v>
      </c>
      <c r="J512" s="50">
        <v>700</v>
      </c>
      <c r="K512" s="51">
        <f>Vaksin[[#This Row],[qtyTerima2025]]*Vaksin[[#This Row],[hargaSatuan]]</f>
        <v>68290362</v>
      </c>
      <c r="L512" s="50">
        <v>530</v>
      </c>
      <c r="M512" s="51">
        <f>Vaksin[[#This Row],[qtyDist2025]]*Vaksin[[#This Row],[hargaSatuan]]</f>
        <v>51705559.800000004</v>
      </c>
      <c r="N512" s="50">
        <v>0</v>
      </c>
      <c r="O512" s="51">
        <f>Vaksin[[#This Row],[qtyEd2025]]*Vaksin[[#This Row],[hargaSatuan]]</f>
        <v>0</v>
      </c>
      <c r="P512" s="50">
        <v>170</v>
      </c>
      <c r="Q512" s="52">
        <f>Vaksin[[#This Row],[qtySaldoAkhir2025]]*Vaksin[[#This Row],[hargaSatuan]]</f>
        <v>16584802.200000001</v>
      </c>
      <c r="S512" s="32">
        <f t="shared" si="14"/>
        <v>16584802.199999996</v>
      </c>
      <c r="T512" s="32">
        <f t="shared" si="15"/>
        <v>5.5879354476928711E-9</v>
      </c>
    </row>
    <row r="513" spans="1:20" ht="14.4" x14ac:dyDescent="0.3">
      <c r="A513" s="44">
        <v>11</v>
      </c>
      <c r="B513" s="45" t="s">
        <v>671</v>
      </c>
      <c r="C513" s="46" t="s">
        <v>408</v>
      </c>
      <c r="D513" s="47" t="s">
        <v>678</v>
      </c>
      <c r="E513" s="48">
        <v>46445</v>
      </c>
      <c r="F513" s="49">
        <v>95558</v>
      </c>
      <c r="G513" s="45" t="s">
        <v>40</v>
      </c>
      <c r="H513" s="50">
        <v>0</v>
      </c>
      <c r="I513" s="49">
        <f>Vaksin[[#This Row],[qtySaldoAwalSem1]]*Vaksin[[#This Row],[hargaSatuan]]</f>
        <v>0</v>
      </c>
      <c r="J513" s="50">
        <v>100</v>
      </c>
      <c r="K513" s="51">
        <f>Vaksin[[#This Row],[qtyTerima2025]]*Vaksin[[#This Row],[hargaSatuan]]</f>
        <v>9555800</v>
      </c>
      <c r="L513" s="50">
        <v>75</v>
      </c>
      <c r="M513" s="51">
        <f>Vaksin[[#This Row],[qtyDist2025]]*Vaksin[[#This Row],[hargaSatuan]]</f>
        <v>7166850</v>
      </c>
      <c r="N513" s="50">
        <v>0</v>
      </c>
      <c r="O513" s="51">
        <f>Vaksin[[#This Row],[qtyEd2025]]*Vaksin[[#This Row],[hargaSatuan]]</f>
        <v>0</v>
      </c>
      <c r="P513" s="50">
        <v>25</v>
      </c>
      <c r="Q513" s="52">
        <f>Vaksin[[#This Row],[qtySaldoAkhir2025]]*Vaksin[[#This Row],[hargaSatuan]]</f>
        <v>2388950</v>
      </c>
      <c r="S513" s="32">
        <f t="shared" si="14"/>
        <v>2388950</v>
      </c>
      <c r="T513" s="32">
        <f t="shared" si="15"/>
        <v>0</v>
      </c>
    </row>
    <row r="514" spans="1:20" ht="14.4" x14ac:dyDescent="0.3">
      <c r="A514" s="44">
        <v>12</v>
      </c>
      <c r="B514" s="45" t="s">
        <v>671</v>
      </c>
      <c r="C514" s="46" t="s">
        <v>408</v>
      </c>
      <c r="D514" s="47" t="s">
        <v>673</v>
      </c>
      <c r="E514" s="48">
        <v>46204</v>
      </c>
      <c r="F514" s="49">
        <v>97557.66</v>
      </c>
      <c r="G514" s="45" t="s">
        <v>40</v>
      </c>
      <c r="H514" s="50">
        <v>0</v>
      </c>
      <c r="I514" s="49">
        <f>Vaksin[[#This Row],[qtySaldoAwalSem1]]*Vaksin[[#This Row],[hargaSatuan]]</f>
        <v>0</v>
      </c>
      <c r="J514" s="50">
        <v>450</v>
      </c>
      <c r="K514" s="51">
        <f>Vaksin[[#This Row],[qtyTerima2025]]*Vaksin[[#This Row],[hargaSatuan]]</f>
        <v>43900947</v>
      </c>
      <c r="L514" s="50">
        <v>450</v>
      </c>
      <c r="M514" s="51">
        <f>Vaksin[[#This Row],[qtyDist2025]]*Vaksin[[#This Row],[hargaSatuan]]</f>
        <v>43900947</v>
      </c>
      <c r="N514" s="50">
        <v>0</v>
      </c>
      <c r="O514" s="51">
        <f>Vaksin[[#This Row],[qtyEd2025]]*Vaksin[[#This Row],[hargaSatuan]]</f>
        <v>0</v>
      </c>
      <c r="P514" s="50">
        <v>0</v>
      </c>
      <c r="Q514" s="52">
        <f>Vaksin[[#This Row],[qtySaldoAkhir2025]]*Vaksin[[#This Row],[hargaSatuan]]</f>
        <v>0</v>
      </c>
      <c r="S514" s="32">
        <f t="shared" si="14"/>
        <v>0</v>
      </c>
      <c r="T514" s="32">
        <f t="shared" si="15"/>
        <v>0</v>
      </c>
    </row>
    <row r="515" spans="1:20" ht="14.4" x14ac:dyDescent="0.3">
      <c r="A515" s="44">
        <v>13</v>
      </c>
      <c r="B515" s="45" t="s">
        <v>679</v>
      </c>
      <c r="C515" s="46" t="s">
        <v>408</v>
      </c>
      <c r="D515" s="47" t="s">
        <v>680</v>
      </c>
      <c r="E515" s="48">
        <v>46357</v>
      </c>
      <c r="F515" s="49">
        <v>206869.37</v>
      </c>
      <c r="G515" s="45" t="s">
        <v>40</v>
      </c>
      <c r="H515" s="50">
        <v>168</v>
      </c>
      <c r="I515" s="49">
        <f>Vaksin[[#This Row],[qtySaldoAwalSem1]]*Vaksin[[#This Row],[hargaSatuan]]</f>
        <v>34754054.159999996</v>
      </c>
      <c r="J515" s="50">
        <v>264</v>
      </c>
      <c r="K515" s="51">
        <f>Vaksin[[#This Row],[qtyTerima2025]]*Vaksin[[#This Row],[hargaSatuan]]</f>
        <v>54613513.68</v>
      </c>
      <c r="L515" s="50">
        <v>432</v>
      </c>
      <c r="M515" s="51">
        <f>Vaksin[[#This Row],[qtyDist2025]]*Vaksin[[#This Row],[hargaSatuan]]</f>
        <v>89367567.840000004</v>
      </c>
      <c r="N515" s="50">
        <v>0</v>
      </c>
      <c r="O515" s="51">
        <f>Vaksin[[#This Row],[qtyEd2025]]*Vaksin[[#This Row],[hargaSatuan]]</f>
        <v>0</v>
      </c>
      <c r="P515" s="50">
        <v>0</v>
      </c>
      <c r="Q515" s="52">
        <f>Vaksin[[#This Row],[qtySaldoAkhir2025]]*Vaksin[[#This Row],[hargaSatuan]]</f>
        <v>0</v>
      </c>
      <c r="S515" s="32">
        <f t="shared" si="14"/>
        <v>0</v>
      </c>
      <c r="T515" s="32">
        <f t="shared" si="15"/>
        <v>0</v>
      </c>
    </row>
    <row r="516" spans="1:20" ht="14.4" x14ac:dyDescent="0.3">
      <c r="A516" s="44">
        <v>14</v>
      </c>
      <c r="B516" s="45" t="s">
        <v>679</v>
      </c>
      <c r="C516" s="46" t="s">
        <v>408</v>
      </c>
      <c r="D516" s="47" t="s">
        <v>681</v>
      </c>
      <c r="E516" s="48">
        <v>46508</v>
      </c>
      <c r="F516" s="49">
        <v>229170.27</v>
      </c>
      <c r="G516" s="45" t="s">
        <v>40</v>
      </c>
      <c r="H516" s="50">
        <v>0</v>
      </c>
      <c r="I516" s="49">
        <f>Vaksin[[#This Row],[qtySaldoAwalSem1]]*Vaksin[[#This Row],[hargaSatuan]]</f>
        <v>0</v>
      </c>
      <c r="J516" s="50">
        <v>652</v>
      </c>
      <c r="K516" s="51">
        <f>Vaksin[[#This Row],[qtyTerima2025]]*Vaksin[[#This Row],[hargaSatuan]]</f>
        <v>149419016.03999999</v>
      </c>
      <c r="L516" s="50">
        <v>652</v>
      </c>
      <c r="M516" s="51">
        <f>Vaksin[[#This Row],[qtyDist2025]]*Vaksin[[#This Row],[hargaSatuan]]</f>
        <v>149419016.03999999</v>
      </c>
      <c r="N516" s="50">
        <v>0</v>
      </c>
      <c r="O516" s="51">
        <f>Vaksin[[#This Row],[qtyEd2025]]*Vaksin[[#This Row],[hargaSatuan]]</f>
        <v>0</v>
      </c>
      <c r="P516" s="50">
        <v>0</v>
      </c>
      <c r="Q516" s="52">
        <f>Vaksin[[#This Row],[qtySaldoAkhir2025]]*Vaksin[[#This Row],[hargaSatuan]]</f>
        <v>0</v>
      </c>
      <c r="S516" s="32">
        <f t="shared" si="14"/>
        <v>0</v>
      </c>
      <c r="T516" s="32">
        <f t="shared" si="15"/>
        <v>0</v>
      </c>
    </row>
    <row r="517" spans="1:20" ht="14.4" x14ac:dyDescent="0.3">
      <c r="A517" s="44">
        <v>15</v>
      </c>
      <c r="B517" s="45" t="s">
        <v>679</v>
      </c>
      <c r="C517" s="46" t="s">
        <v>408</v>
      </c>
      <c r="D517" s="47" t="s">
        <v>682</v>
      </c>
      <c r="E517" s="48">
        <v>46595</v>
      </c>
      <c r="F517" s="49">
        <v>254379</v>
      </c>
      <c r="G517" s="45" t="s">
        <v>40</v>
      </c>
      <c r="H517" s="50">
        <v>0</v>
      </c>
      <c r="I517" s="49">
        <f>Vaksin[[#This Row],[qtySaldoAwalSem1]]*Vaksin[[#This Row],[hargaSatuan]]</f>
        <v>0</v>
      </c>
      <c r="J517" s="50">
        <v>144</v>
      </c>
      <c r="K517" s="51">
        <f>Vaksin[[#This Row],[qtyTerima2025]]*Vaksin[[#This Row],[hargaSatuan]]</f>
        <v>36630576</v>
      </c>
      <c r="L517" s="50">
        <v>10</v>
      </c>
      <c r="M517" s="51">
        <f>Vaksin[[#This Row],[qtyDist2025]]*Vaksin[[#This Row],[hargaSatuan]]</f>
        <v>2543790</v>
      </c>
      <c r="N517" s="50">
        <v>0</v>
      </c>
      <c r="O517" s="51">
        <f>Vaksin[[#This Row],[qtyEd2025]]*Vaksin[[#This Row],[hargaSatuan]]</f>
        <v>0</v>
      </c>
      <c r="P517" s="50">
        <v>134</v>
      </c>
      <c r="Q517" s="52">
        <f>Vaksin[[#This Row],[qtySaldoAkhir2025]]*Vaksin[[#This Row],[hargaSatuan]]</f>
        <v>34086786</v>
      </c>
      <c r="S517" s="32">
        <f t="shared" si="14"/>
        <v>34086786</v>
      </c>
      <c r="T517" s="32">
        <f t="shared" si="15"/>
        <v>0</v>
      </c>
    </row>
    <row r="518" spans="1:20" ht="14.4" x14ac:dyDescent="0.3">
      <c r="A518" s="44">
        <v>16</v>
      </c>
      <c r="B518" s="45" t="s">
        <v>679</v>
      </c>
      <c r="C518" s="46" t="s">
        <v>408</v>
      </c>
      <c r="D518" s="47" t="s">
        <v>682</v>
      </c>
      <c r="E518" s="48">
        <v>46595</v>
      </c>
      <c r="F518" s="49">
        <v>254379</v>
      </c>
      <c r="G518" s="45" t="s">
        <v>40</v>
      </c>
      <c r="H518" s="50">
        <v>0</v>
      </c>
      <c r="I518" s="49">
        <f>Vaksin[[#This Row],[qtySaldoAwalSem1]]*Vaksin[[#This Row],[hargaSatuan]]</f>
        <v>0</v>
      </c>
      <c r="J518" s="50">
        <v>240</v>
      </c>
      <c r="K518" s="51">
        <f>Vaksin[[#This Row],[qtyTerima2025]]*Vaksin[[#This Row],[hargaSatuan]]</f>
        <v>61050960</v>
      </c>
      <c r="L518" s="50">
        <v>0</v>
      </c>
      <c r="M518" s="51">
        <f>Vaksin[[#This Row],[qtyDist2025]]*Vaksin[[#This Row],[hargaSatuan]]</f>
        <v>0</v>
      </c>
      <c r="N518" s="50">
        <v>0</v>
      </c>
      <c r="O518" s="51">
        <f>Vaksin[[#This Row],[qtyEd2025]]*Vaksin[[#This Row],[hargaSatuan]]</f>
        <v>0</v>
      </c>
      <c r="P518" s="50">
        <v>240</v>
      </c>
      <c r="Q518" s="52">
        <f>Vaksin[[#This Row],[qtySaldoAkhir2025]]*Vaksin[[#This Row],[hargaSatuan]]</f>
        <v>61050960</v>
      </c>
      <c r="S518" s="32">
        <f t="shared" si="14"/>
        <v>61050960</v>
      </c>
      <c r="T518" s="32">
        <f t="shared" si="15"/>
        <v>0</v>
      </c>
    </row>
    <row r="519" spans="1:20" ht="14.4" x14ac:dyDescent="0.3">
      <c r="A519" s="44">
        <v>17</v>
      </c>
      <c r="B519" s="45" t="s">
        <v>683</v>
      </c>
      <c r="C519" s="46" t="s">
        <v>408</v>
      </c>
      <c r="D519" s="47" t="s">
        <v>684</v>
      </c>
      <c r="E519" s="48">
        <v>46266</v>
      </c>
      <c r="F519" s="49">
        <v>36890.089999999997</v>
      </c>
      <c r="G519" s="45" t="s">
        <v>40</v>
      </c>
      <c r="H519" s="50">
        <v>0</v>
      </c>
      <c r="I519" s="49">
        <f>Vaksin[[#This Row],[qtySaldoAwalSem1]]*Vaksin[[#This Row],[hargaSatuan]]</f>
        <v>0</v>
      </c>
      <c r="J519" s="50">
        <v>300</v>
      </c>
      <c r="K519" s="51">
        <f>Vaksin[[#This Row],[qtyTerima2025]]*Vaksin[[#This Row],[hargaSatuan]]</f>
        <v>11067026.999999998</v>
      </c>
      <c r="L519" s="50">
        <v>300</v>
      </c>
      <c r="M519" s="51">
        <f>Vaksin[[#This Row],[qtyDist2025]]*Vaksin[[#This Row],[hargaSatuan]]</f>
        <v>11067026.999999998</v>
      </c>
      <c r="N519" s="50">
        <v>0</v>
      </c>
      <c r="O519" s="51">
        <f>Vaksin[[#This Row],[qtyEd2025]]*Vaksin[[#This Row],[hargaSatuan]]</f>
        <v>0</v>
      </c>
      <c r="P519" s="50">
        <v>0</v>
      </c>
      <c r="Q519" s="52">
        <f>Vaksin[[#This Row],[qtySaldoAkhir2025]]*Vaksin[[#This Row],[hargaSatuan]]</f>
        <v>0</v>
      </c>
      <c r="S519" s="32">
        <f t="shared" si="14"/>
        <v>0</v>
      </c>
      <c r="T519" s="32">
        <f t="shared" si="15"/>
        <v>0</v>
      </c>
    </row>
    <row r="520" spans="1:20" ht="14.4" x14ac:dyDescent="0.3">
      <c r="A520" s="44">
        <v>18</v>
      </c>
      <c r="B520" s="45" t="s">
        <v>685</v>
      </c>
      <c r="C520" s="46" t="s">
        <v>408</v>
      </c>
      <c r="D520" s="47" t="s">
        <v>686</v>
      </c>
      <c r="E520" s="48">
        <v>46266</v>
      </c>
      <c r="F520" s="49">
        <v>105450</v>
      </c>
      <c r="G520" s="45" t="s">
        <v>40</v>
      </c>
      <c r="H520" s="50">
        <v>2</v>
      </c>
      <c r="I520" s="49">
        <f>Vaksin[[#This Row],[qtySaldoAwalSem1]]*Vaksin[[#This Row],[hargaSatuan]]</f>
        <v>210900</v>
      </c>
      <c r="J520" s="50">
        <v>0</v>
      </c>
      <c r="K520" s="51">
        <f>Vaksin[[#This Row],[qtyTerima2025]]*Vaksin[[#This Row],[hargaSatuan]]</f>
        <v>0</v>
      </c>
      <c r="L520" s="50">
        <v>2</v>
      </c>
      <c r="M520" s="51">
        <f>Vaksin[[#This Row],[qtyDist2025]]*Vaksin[[#This Row],[hargaSatuan]]</f>
        <v>210900</v>
      </c>
      <c r="N520" s="50">
        <v>0</v>
      </c>
      <c r="O520" s="51">
        <f>Vaksin[[#This Row],[qtyEd2025]]*Vaksin[[#This Row],[hargaSatuan]]</f>
        <v>0</v>
      </c>
      <c r="P520" s="50">
        <v>0</v>
      </c>
      <c r="Q520" s="52">
        <f>Vaksin[[#This Row],[qtySaldoAkhir2025]]*Vaksin[[#This Row],[hargaSatuan]]</f>
        <v>0</v>
      </c>
      <c r="S520" s="32">
        <f t="shared" ref="S520:S584" si="16">IFERROR(I520+K520-(M520+O520),0)</f>
        <v>0</v>
      </c>
      <c r="T520" s="32">
        <f t="shared" ref="T520:T584" si="17">IFERROR(Q520-S520,0)</f>
        <v>0</v>
      </c>
    </row>
    <row r="521" spans="1:20" ht="14.4" x14ac:dyDescent="0.3">
      <c r="A521" s="44">
        <v>19</v>
      </c>
      <c r="B521" s="45" t="s">
        <v>685</v>
      </c>
      <c r="C521" s="46" t="s">
        <v>408</v>
      </c>
      <c r="D521" s="47" t="s">
        <v>687</v>
      </c>
      <c r="E521" s="48">
        <v>46784</v>
      </c>
      <c r="F521" s="49">
        <v>105450</v>
      </c>
      <c r="G521" s="45" t="s">
        <v>40</v>
      </c>
      <c r="H521" s="50">
        <v>0</v>
      </c>
      <c r="I521" s="49">
        <f>Vaksin[[#This Row],[qtySaldoAwalSem1]]*Vaksin[[#This Row],[hargaSatuan]]</f>
        <v>0</v>
      </c>
      <c r="J521" s="50">
        <v>141</v>
      </c>
      <c r="K521" s="51">
        <f>Vaksin[[#This Row],[qtyTerima2025]]*Vaksin[[#This Row],[hargaSatuan]]</f>
        <v>14868450</v>
      </c>
      <c r="L521" s="50">
        <v>138</v>
      </c>
      <c r="M521" s="51">
        <f>Vaksin[[#This Row],[qtyDist2025]]*Vaksin[[#This Row],[hargaSatuan]]</f>
        <v>14552100</v>
      </c>
      <c r="N521" s="50">
        <v>0</v>
      </c>
      <c r="O521" s="51">
        <f>Vaksin[[#This Row],[qtyEd2025]]*Vaksin[[#This Row],[hargaSatuan]]</f>
        <v>0</v>
      </c>
      <c r="P521" s="50">
        <v>3</v>
      </c>
      <c r="Q521" s="52">
        <f>Vaksin[[#This Row],[qtySaldoAkhir2025]]*Vaksin[[#This Row],[hargaSatuan]]</f>
        <v>316350</v>
      </c>
      <c r="S521" s="32">
        <f t="shared" si="16"/>
        <v>316350</v>
      </c>
      <c r="T521" s="32">
        <f t="shared" si="17"/>
        <v>0</v>
      </c>
    </row>
    <row r="522" spans="1:20" ht="14.4" x14ac:dyDescent="0.3">
      <c r="A522" s="44">
        <v>20</v>
      </c>
      <c r="B522" s="45" t="s">
        <v>688</v>
      </c>
      <c r="C522" s="46" t="s">
        <v>689</v>
      </c>
      <c r="D522" s="47">
        <v>3650424</v>
      </c>
      <c r="E522" s="48">
        <v>46631</v>
      </c>
      <c r="F522" s="49">
        <v>26378</v>
      </c>
      <c r="G522" s="45" t="s">
        <v>40</v>
      </c>
      <c r="H522" s="50">
        <v>70</v>
      </c>
      <c r="I522" s="49">
        <f>Vaksin[[#This Row],[qtySaldoAwalSem1]]*Vaksin[[#This Row],[hargaSatuan]]</f>
        <v>1846460</v>
      </c>
      <c r="J522" s="50">
        <v>0</v>
      </c>
      <c r="K522" s="51">
        <f>Vaksin[[#This Row],[qtyTerima2025]]*Vaksin[[#This Row],[hargaSatuan]]</f>
        <v>0</v>
      </c>
      <c r="L522" s="50">
        <v>70</v>
      </c>
      <c r="M522" s="51">
        <f>Vaksin[[#This Row],[qtyDist2025]]*Vaksin[[#This Row],[hargaSatuan]]</f>
        <v>1846460</v>
      </c>
      <c r="N522" s="50">
        <v>0</v>
      </c>
      <c r="O522" s="51">
        <f>Vaksin[[#This Row],[qtyEd2025]]*Vaksin[[#This Row],[hargaSatuan]]</f>
        <v>0</v>
      </c>
      <c r="P522" s="50">
        <v>0</v>
      </c>
      <c r="Q522" s="52">
        <f>Vaksin[[#This Row],[qtySaldoAkhir2025]]*Vaksin[[#This Row],[hargaSatuan]]</f>
        <v>0</v>
      </c>
      <c r="S522" s="32">
        <f t="shared" si="16"/>
        <v>0</v>
      </c>
      <c r="T522" s="32">
        <f t="shared" si="17"/>
        <v>0</v>
      </c>
    </row>
    <row r="523" spans="1:20" ht="14.4" x14ac:dyDescent="0.3">
      <c r="A523" s="44">
        <v>21</v>
      </c>
      <c r="B523" s="45" t="s">
        <v>688</v>
      </c>
      <c r="C523" s="46" t="s">
        <v>689</v>
      </c>
      <c r="D523" s="47">
        <v>36500625</v>
      </c>
      <c r="E523" s="48">
        <v>46813</v>
      </c>
      <c r="F523" s="49">
        <v>31480.18</v>
      </c>
      <c r="G523" s="45" t="s">
        <v>40</v>
      </c>
      <c r="H523" s="50">
        <v>0</v>
      </c>
      <c r="I523" s="49">
        <f>Vaksin[[#This Row],[qtySaldoAwalSem1]]*Vaksin[[#This Row],[hargaSatuan]]</f>
        <v>0</v>
      </c>
      <c r="J523" s="50">
        <v>800</v>
      </c>
      <c r="K523" s="51">
        <f>Vaksin[[#This Row],[qtyTerima2025]]*Vaksin[[#This Row],[hargaSatuan]]</f>
        <v>25184144</v>
      </c>
      <c r="L523" s="50">
        <v>800</v>
      </c>
      <c r="M523" s="51">
        <f>Vaksin[[#This Row],[qtyDist2025]]*Vaksin[[#This Row],[hargaSatuan]]</f>
        <v>25184144</v>
      </c>
      <c r="N523" s="50">
        <v>0</v>
      </c>
      <c r="O523" s="51">
        <f>Vaksin[[#This Row],[qtyEd2025]]*Vaksin[[#This Row],[hargaSatuan]]</f>
        <v>0</v>
      </c>
      <c r="P523" s="50">
        <v>0</v>
      </c>
      <c r="Q523" s="52">
        <f>Vaksin[[#This Row],[qtySaldoAkhir2025]]*Vaksin[[#This Row],[hargaSatuan]]</f>
        <v>0</v>
      </c>
      <c r="S523" s="32">
        <f t="shared" si="16"/>
        <v>0</v>
      </c>
      <c r="T523" s="32">
        <f t="shared" si="17"/>
        <v>0</v>
      </c>
    </row>
    <row r="524" spans="1:20" ht="14.4" x14ac:dyDescent="0.3">
      <c r="A524" s="44">
        <v>22</v>
      </c>
      <c r="B524" s="45" t="s">
        <v>688</v>
      </c>
      <c r="C524" s="46" t="s">
        <v>689</v>
      </c>
      <c r="D524" s="47">
        <v>36500425</v>
      </c>
      <c r="E524" s="48">
        <v>46813</v>
      </c>
      <c r="F524" s="49">
        <v>31480.18</v>
      </c>
      <c r="G524" s="45" t="s">
        <v>40</v>
      </c>
      <c r="H524" s="50">
        <v>0</v>
      </c>
      <c r="I524" s="49">
        <f>Vaksin[[#This Row],[qtySaldoAwalSem1]]*Vaksin[[#This Row],[hargaSatuan]]</f>
        <v>0</v>
      </c>
      <c r="J524" s="50">
        <v>710</v>
      </c>
      <c r="K524" s="51">
        <f>Vaksin[[#This Row],[qtyTerima2025]]*Vaksin[[#This Row],[hargaSatuan]]</f>
        <v>22350927.800000001</v>
      </c>
      <c r="L524" s="50">
        <v>710</v>
      </c>
      <c r="M524" s="51">
        <f>Vaksin[[#This Row],[qtyDist2025]]*Vaksin[[#This Row],[hargaSatuan]]</f>
        <v>22350927.800000001</v>
      </c>
      <c r="N524" s="50">
        <v>0</v>
      </c>
      <c r="O524" s="51">
        <f>Vaksin[[#This Row],[qtyEd2025]]*Vaksin[[#This Row],[hargaSatuan]]</f>
        <v>0</v>
      </c>
      <c r="P524" s="50">
        <v>0</v>
      </c>
      <c r="Q524" s="52">
        <f>Vaksin[[#This Row],[qtySaldoAkhir2025]]*Vaksin[[#This Row],[hargaSatuan]]</f>
        <v>0</v>
      </c>
      <c r="S524" s="32">
        <f t="shared" si="16"/>
        <v>0</v>
      </c>
      <c r="T524" s="32">
        <f t="shared" si="17"/>
        <v>0</v>
      </c>
    </row>
    <row r="525" spans="1:20" ht="14.4" x14ac:dyDescent="0.3">
      <c r="A525" s="44">
        <v>23</v>
      </c>
      <c r="B525" s="45" t="s">
        <v>688</v>
      </c>
      <c r="C525" s="46" t="s">
        <v>689</v>
      </c>
      <c r="D525" s="47">
        <v>3652324</v>
      </c>
      <c r="E525" s="48">
        <v>46784</v>
      </c>
      <c r="F525" s="49">
        <v>31480.18</v>
      </c>
      <c r="G525" s="45" t="s">
        <v>40</v>
      </c>
      <c r="H525" s="50">
        <v>0</v>
      </c>
      <c r="I525" s="49">
        <f>Vaksin[[#This Row],[qtySaldoAwalSem1]]*Vaksin[[#This Row],[hargaSatuan]]</f>
        <v>0</v>
      </c>
      <c r="J525" s="50">
        <v>600</v>
      </c>
      <c r="K525" s="51">
        <f>Vaksin[[#This Row],[qtyTerima2025]]*Vaksin[[#This Row],[hargaSatuan]]</f>
        <v>18888108</v>
      </c>
      <c r="L525" s="50">
        <v>600</v>
      </c>
      <c r="M525" s="51">
        <f>Vaksin[[#This Row],[qtyDist2025]]*Vaksin[[#This Row],[hargaSatuan]]</f>
        <v>18888108</v>
      </c>
      <c r="N525" s="50">
        <v>0</v>
      </c>
      <c r="O525" s="51">
        <f>Vaksin[[#This Row],[qtyEd2025]]*Vaksin[[#This Row],[hargaSatuan]]</f>
        <v>0</v>
      </c>
      <c r="P525" s="50">
        <v>0</v>
      </c>
      <c r="Q525" s="52">
        <f>Vaksin[[#This Row],[qtySaldoAkhir2025]]*Vaksin[[#This Row],[hargaSatuan]]</f>
        <v>0</v>
      </c>
      <c r="S525" s="32">
        <f t="shared" si="16"/>
        <v>0</v>
      </c>
      <c r="T525" s="32">
        <f t="shared" si="17"/>
        <v>0</v>
      </c>
    </row>
    <row r="526" spans="1:20" ht="14.4" x14ac:dyDescent="0.3">
      <c r="A526" s="44"/>
      <c r="B526" s="45" t="s">
        <v>688</v>
      </c>
      <c r="C526" s="46" t="s">
        <v>689</v>
      </c>
      <c r="D526" s="47">
        <v>3650424</v>
      </c>
      <c r="E526" s="48">
        <v>46784</v>
      </c>
      <c r="F526" s="49">
        <v>31480.18</v>
      </c>
      <c r="G526" s="45" t="s">
        <v>40</v>
      </c>
      <c r="H526" s="50">
        <v>0</v>
      </c>
      <c r="I526" s="49">
        <f>Vaksin[[#This Row],[qtySaldoAwalSem1]]*Vaksin[[#This Row],[hargaSatuan]]</f>
        <v>0</v>
      </c>
      <c r="J526" s="50">
        <v>300</v>
      </c>
      <c r="K526" s="51">
        <f>Vaksin[[#This Row],[qtyTerima2025]]*Vaksin[[#This Row],[hargaSatuan]]</f>
        <v>9444054</v>
      </c>
      <c r="L526" s="50">
        <v>300</v>
      </c>
      <c r="M526" s="51">
        <f>Vaksin[[#This Row],[qtyDist2025]]*Vaksin[[#This Row],[hargaSatuan]]</f>
        <v>9444054</v>
      </c>
      <c r="N526" s="50">
        <v>0</v>
      </c>
      <c r="O526" s="51">
        <f>Vaksin[[#This Row],[qtyEd2025]]*Vaksin[[#This Row],[hargaSatuan]]</f>
        <v>0</v>
      </c>
      <c r="P526" s="50">
        <v>0</v>
      </c>
      <c r="Q526" s="52">
        <f>Vaksin[[#This Row],[qtySaldoAkhir2025]]*Vaksin[[#This Row],[hargaSatuan]]</f>
        <v>0</v>
      </c>
      <c r="S526" s="32">
        <f t="shared" si="16"/>
        <v>0</v>
      </c>
      <c r="T526" s="32">
        <f t="shared" si="17"/>
        <v>0</v>
      </c>
    </row>
    <row r="527" spans="1:20" ht="14.4" x14ac:dyDescent="0.3">
      <c r="A527" s="44"/>
      <c r="B527" s="45" t="s">
        <v>688</v>
      </c>
      <c r="C527" s="46" t="s">
        <v>689</v>
      </c>
      <c r="D527" s="47">
        <v>3650424</v>
      </c>
      <c r="E527" s="48">
        <v>46784</v>
      </c>
      <c r="F527" s="49">
        <v>31480.18</v>
      </c>
      <c r="G527" s="45" t="s">
        <v>40</v>
      </c>
      <c r="H527" s="50">
        <v>0</v>
      </c>
      <c r="I527" s="49">
        <f>Vaksin[[#This Row],[qtySaldoAwalSem1]]*Vaksin[[#This Row],[hargaSatuan]]</f>
        <v>0</v>
      </c>
      <c r="J527" s="50">
        <v>51</v>
      </c>
      <c r="K527" s="51">
        <f>Vaksin[[#This Row],[qtyTerima2025]]*Vaksin[[#This Row],[hargaSatuan]]</f>
        <v>1605489.18</v>
      </c>
      <c r="L527" s="50">
        <v>51</v>
      </c>
      <c r="M527" s="51">
        <f>Vaksin[[#This Row],[qtyDist2025]]*Vaksin[[#This Row],[hargaSatuan]]</f>
        <v>1605489.18</v>
      </c>
      <c r="N527" s="50">
        <v>0</v>
      </c>
      <c r="O527" s="51">
        <f>Vaksin[[#This Row],[qtyEd2025]]*Vaksin[[#This Row],[hargaSatuan]]</f>
        <v>0</v>
      </c>
      <c r="P527" s="50">
        <v>0</v>
      </c>
      <c r="Q527" s="52">
        <f>Vaksin[[#This Row],[qtySaldoAkhir2025]]*Vaksin[[#This Row],[hargaSatuan]]</f>
        <v>0</v>
      </c>
      <c r="S527" s="32">
        <f t="shared" si="16"/>
        <v>0</v>
      </c>
      <c r="T527" s="32">
        <f t="shared" si="17"/>
        <v>0</v>
      </c>
    </row>
    <row r="528" spans="1:20" ht="14.4" x14ac:dyDescent="0.3">
      <c r="A528" s="44"/>
      <c r="B528" s="45" t="s">
        <v>688</v>
      </c>
      <c r="C528" s="46" t="s">
        <v>689</v>
      </c>
      <c r="D528" s="47">
        <v>3663121</v>
      </c>
      <c r="E528" s="48">
        <v>46784</v>
      </c>
      <c r="F528" s="49">
        <v>31480.18</v>
      </c>
      <c r="G528" s="45" t="s">
        <v>40</v>
      </c>
      <c r="H528" s="50">
        <v>0</v>
      </c>
      <c r="I528" s="49">
        <f>Vaksin[[#This Row],[qtySaldoAwalSem1]]*Vaksin[[#This Row],[hargaSatuan]]</f>
        <v>0</v>
      </c>
      <c r="J528" s="50">
        <v>300</v>
      </c>
      <c r="K528" s="51">
        <f>Vaksin[[#This Row],[qtyTerima2025]]*Vaksin[[#This Row],[hargaSatuan]]</f>
        <v>9444054</v>
      </c>
      <c r="L528" s="50">
        <v>300</v>
      </c>
      <c r="M528" s="51">
        <f>Vaksin[[#This Row],[qtyDist2025]]*Vaksin[[#This Row],[hargaSatuan]]</f>
        <v>9444054</v>
      </c>
      <c r="N528" s="50">
        <v>0</v>
      </c>
      <c r="O528" s="51">
        <f>Vaksin[[#This Row],[qtyEd2025]]*Vaksin[[#This Row],[hargaSatuan]]</f>
        <v>0</v>
      </c>
      <c r="P528" s="50">
        <v>0</v>
      </c>
      <c r="Q528" s="52">
        <f>Vaksin[[#This Row],[qtySaldoAkhir2025]]*Vaksin[[#This Row],[hargaSatuan]]</f>
        <v>0</v>
      </c>
      <c r="S528" s="32">
        <f t="shared" si="16"/>
        <v>0</v>
      </c>
      <c r="T528" s="32">
        <f t="shared" si="17"/>
        <v>0</v>
      </c>
    </row>
    <row r="529" spans="1:20" ht="14.4" x14ac:dyDescent="0.3">
      <c r="A529" s="44"/>
      <c r="B529" s="45" t="s">
        <v>688</v>
      </c>
      <c r="C529" s="46" t="s">
        <v>689</v>
      </c>
      <c r="D529" s="47">
        <v>3651624</v>
      </c>
      <c r="E529" s="48">
        <v>46784</v>
      </c>
      <c r="F529" s="49">
        <v>31480.18</v>
      </c>
      <c r="G529" s="45" t="s">
        <v>40</v>
      </c>
      <c r="H529" s="50">
        <v>0</v>
      </c>
      <c r="I529" s="49">
        <f>Vaksin[[#This Row],[qtySaldoAwalSem1]]*Vaksin[[#This Row],[hargaSatuan]]</f>
        <v>0</v>
      </c>
      <c r="J529" s="50">
        <v>200</v>
      </c>
      <c r="K529" s="51">
        <f>Vaksin[[#This Row],[qtyTerima2025]]*Vaksin[[#This Row],[hargaSatuan]]</f>
        <v>6296036</v>
      </c>
      <c r="L529" s="50">
        <v>200</v>
      </c>
      <c r="M529" s="51">
        <f>Vaksin[[#This Row],[qtyDist2025]]*Vaksin[[#This Row],[hargaSatuan]]</f>
        <v>6296036</v>
      </c>
      <c r="N529" s="50">
        <v>0</v>
      </c>
      <c r="O529" s="51">
        <f>Vaksin[[#This Row],[qtyEd2025]]*Vaksin[[#This Row],[hargaSatuan]]</f>
        <v>0</v>
      </c>
      <c r="P529" s="50">
        <v>0</v>
      </c>
      <c r="Q529" s="52">
        <f>Vaksin[[#This Row],[qtySaldoAkhir2025]]*Vaksin[[#This Row],[hargaSatuan]]</f>
        <v>0</v>
      </c>
      <c r="S529" s="32">
        <f t="shared" si="16"/>
        <v>0</v>
      </c>
      <c r="T529" s="32">
        <f t="shared" si="17"/>
        <v>0</v>
      </c>
    </row>
    <row r="530" spans="1:20" ht="14.4" x14ac:dyDescent="0.3">
      <c r="A530" s="44">
        <v>24</v>
      </c>
      <c r="B530" s="45" t="s">
        <v>690</v>
      </c>
      <c r="C530" s="46" t="s">
        <v>689</v>
      </c>
      <c r="D530" s="47" t="s">
        <v>691</v>
      </c>
      <c r="E530" s="48">
        <v>46508</v>
      </c>
      <c r="F530" s="49">
        <v>39516.22</v>
      </c>
      <c r="G530" s="45" t="s">
        <v>40</v>
      </c>
      <c r="H530" s="50">
        <v>0</v>
      </c>
      <c r="I530" s="49">
        <f>Vaksin[[#This Row],[qtySaldoAwalSem1]]*Vaksin[[#This Row],[hargaSatuan]]</f>
        <v>0</v>
      </c>
      <c r="J530" s="50">
        <v>700</v>
      </c>
      <c r="K530" s="51">
        <f>Vaksin[[#This Row],[qtyTerima2025]]*Vaksin[[#This Row],[hargaSatuan]]</f>
        <v>27661354</v>
      </c>
      <c r="L530" s="50">
        <v>700</v>
      </c>
      <c r="M530" s="51">
        <f>Vaksin[[#This Row],[qtyDist2025]]*Vaksin[[#This Row],[hargaSatuan]]</f>
        <v>27661354</v>
      </c>
      <c r="N530" s="50">
        <v>0</v>
      </c>
      <c r="O530" s="51">
        <f>Vaksin[[#This Row],[qtyEd2025]]*Vaksin[[#This Row],[hargaSatuan]]</f>
        <v>0</v>
      </c>
      <c r="P530" s="50">
        <v>0</v>
      </c>
      <c r="Q530" s="52">
        <f>Vaksin[[#This Row],[qtySaldoAkhir2025]]*Vaksin[[#This Row],[hargaSatuan]]</f>
        <v>0</v>
      </c>
      <c r="S530" s="32">
        <f t="shared" si="16"/>
        <v>0</v>
      </c>
      <c r="T530" s="32">
        <f t="shared" si="17"/>
        <v>0</v>
      </c>
    </row>
    <row r="531" spans="1:20" ht="14.4" x14ac:dyDescent="0.3">
      <c r="A531" s="44">
        <v>25</v>
      </c>
      <c r="B531" s="45" t="s">
        <v>690</v>
      </c>
      <c r="C531" s="46" t="s">
        <v>689</v>
      </c>
      <c r="D531" s="47" t="s">
        <v>692</v>
      </c>
      <c r="E531" s="48">
        <v>46523</v>
      </c>
      <c r="F531" s="49">
        <v>39516.22</v>
      </c>
      <c r="G531" s="45" t="s">
        <v>40</v>
      </c>
      <c r="H531" s="50">
        <v>0</v>
      </c>
      <c r="I531" s="49">
        <f>Vaksin[[#This Row],[qtySaldoAwalSem1]]*Vaksin[[#This Row],[hargaSatuan]]</f>
        <v>0</v>
      </c>
      <c r="J531" s="50">
        <v>200</v>
      </c>
      <c r="K531" s="51">
        <f>Vaksin[[#This Row],[qtyTerima2025]]*Vaksin[[#This Row],[hargaSatuan]]</f>
        <v>7903244</v>
      </c>
      <c r="L531" s="50">
        <v>200</v>
      </c>
      <c r="M531" s="51">
        <f>Vaksin[[#This Row],[qtyDist2025]]*Vaksin[[#This Row],[hargaSatuan]]</f>
        <v>7903244</v>
      </c>
      <c r="N531" s="50">
        <v>0</v>
      </c>
      <c r="O531" s="51">
        <f>Vaksin[[#This Row],[qtyEd2025]]*Vaksin[[#This Row],[hargaSatuan]]</f>
        <v>0</v>
      </c>
      <c r="P531" s="50">
        <v>0</v>
      </c>
      <c r="Q531" s="52">
        <f>Vaksin[[#This Row],[qtySaldoAkhir2025]]*Vaksin[[#This Row],[hargaSatuan]]</f>
        <v>0</v>
      </c>
      <c r="S531" s="32">
        <f t="shared" si="16"/>
        <v>0</v>
      </c>
      <c r="T531" s="32">
        <f t="shared" si="17"/>
        <v>0</v>
      </c>
    </row>
    <row r="532" spans="1:20" ht="14.4" x14ac:dyDescent="0.3">
      <c r="A532" s="44">
        <v>26</v>
      </c>
      <c r="B532" s="45" t="s">
        <v>690</v>
      </c>
      <c r="C532" s="46" t="s">
        <v>689</v>
      </c>
      <c r="D532" s="47" t="s">
        <v>693</v>
      </c>
      <c r="E532" s="48">
        <v>45804</v>
      </c>
      <c r="F532" s="49">
        <v>39516.22</v>
      </c>
      <c r="G532" s="45" t="s">
        <v>40</v>
      </c>
      <c r="H532" s="50">
        <v>0</v>
      </c>
      <c r="I532" s="49">
        <f>Vaksin[[#This Row],[qtySaldoAwalSem1]]*Vaksin[[#This Row],[hargaSatuan]]</f>
        <v>0</v>
      </c>
      <c r="J532" s="50">
        <v>200</v>
      </c>
      <c r="K532" s="51">
        <f>Vaksin[[#This Row],[qtyTerima2025]]*Vaksin[[#This Row],[hargaSatuan]]</f>
        <v>7903244</v>
      </c>
      <c r="L532" s="50">
        <v>200</v>
      </c>
      <c r="M532" s="51">
        <f>Vaksin[[#This Row],[qtyDist2025]]*Vaksin[[#This Row],[hargaSatuan]]</f>
        <v>7903244</v>
      </c>
      <c r="N532" s="50">
        <v>0</v>
      </c>
      <c r="O532" s="51">
        <f>Vaksin[[#This Row],[qtyEd2025]]*Vaksin[[#This Row],[hargaSatuan]]</f>
        <v>0</v>
      </c>
      <c r="P532" s="50">
        <v>0</v>
      </c>
      <c r="Q532" s="52">
        <f>Vaksin[[#This Row],[qtySaldoAkhir2025]]*Vaksin[[#This Row],[hargaSatuan]]</f>
        <v>0</v>
      </c>
      <c r="S532" s="32">
        <f t="shared" si="16"/>
        <v>0</v>
      </c>
      <c r="T532" s="32">
        <f t="shared" si="17"/>
        <v>0</v>
      </c>
    </row>
    <row r="533" spans="1:20" ht="14.4" x14ac:dyDescent="0.3">
      <c r="A533" s="44">
        <v>27</v>
      </c>
      <c r="B533" s="45" t="s">
        <v>690</v>
      </c>
      <c r="C533" s="46" t="s">
        <v>689</v>
      </c>
      <c r="D533" s="47" t="s">
        <v>694</v>
      </c>
      <c r="E533" s="48">
        <v>46534</v>
      </c>
      <c r="F533" s="49">
        <v>39516.22</v>
      </c>
      <c r="G533" s="45" t="s">
        <v>40</v>
      </c>
      <c r="H533" s="50">
        <v>0</v>
      </c>
      <c r="I533" s="49">
        <f>Vaksin[[#This Row],[qtySaldoAwalSem1]]*Vaksin[[#This Row],[hargaSatuan]]</f>
        <v>0</v>
      </c>
      <c r="J533" s="50">
        <v>400</v>
      </c>
      <c r="K533" s="51">
        <f>Vaksin[[#This Row],[qtyTerima2025]]*Vaksin[[#This Row],[hargaSatuan]]</f>
        <v>15806488</v>
      </c>
      <c r="L533" s="50">
        <v>245</v>
      </c>
      <c r="M533" s="51">
        <f>Vaksin[[#This Row],[qtyDist2025]]*Vaksin[[#This Row],[hargaSatuan]]</f>
        <v>9681473.9000000004</v>
      </c>
      <c r="N533" s="50">
        <v>0</v>
      </c>
      <c r="O533" s="51">
        <f>Vaksin[[#This Row],[qtyEd2025]]*Vaksin[[#This Row],[hargaSatuan]]</f>
        <v>0</v>
      </c>
      <c r="P533" s="50">
        <v>155</v>
      </c>
      <c r="Q533" s="52">
        <f>Vaksin[[#This Row],[qtySaldoAkhir2025]]*Vaksin[[#This Row],[hargaSatuan]]</f>
        <v>6125014.1000000006</v>
      </c>
      <c r="S533" s="32">
        <f t="shared" si="16"/>
        <v>6125014.0999999996</v>
      </c>
      <c r="T533" s="32">
        <f t="shared" si="17"/>
        <v>9.3132257461547852E-10</v>
      </c>
    </row>
    <row r="534" spans="1:20" ht="14.4" x14ac:dyDescent="0.3">
      <c r="A534" s="44">
        <v>28</v>
      </c>
      <c r="B534" s="45" t="s">
        <v>690</v>
      </c>
      <c r="C534" s="46" t="s">
        <v>689</v>
      </c>
      <c r="D534" s="47" t="s">
        <v>695</v>
      </c>
      <c r="E534" s="48">
        <v>46534</v>
      </c>
      <c r="F534" s="49">
        <v>39516.22</v>
      </c>
      <c r="G534" s="45" t="s">
        <v>40</v>
      </c>
      <c r="H534" s="50">
        <v>0</v>
      </c>
      <c r="I534" s="49">
        <f>Vaksin[[#This Row],[qtySaldoAwalSem1]]*Vaksin[[#This Row],[hargaSatuan]]</f>
        <v>0</v>
      </c>
      <c r="J534" s="50">
        <v>500</v>
      </c>
      <c r="K534" s="51">
        <f>Vaksin[[#This Row],[qtyTerima2025]]*Vaksin[[#This Row],[hargaSatuan]]</f>
        <v>19758110</v>
      </c>
      <c r="L534" s="50">
        <v>500</v>
      </c>
      <c r="M534" s="51">
        <f>Vaksin[[#This Row],[qtyDist2025]]*Vaksin[[#This Row],[hargaSatuan]]</f>
        <v>19758110</v>
      </c>
      <c r="N534" s="50">
        <v>0</v>
      </c>
      <c r="O534" s="51">
        <f>Vaksin[[#This Row],[qtyEd2025]]*Vaksin[[#This Row],[hargaSatuan]]</f>
        <v>0</v>
      </c>
      <c r="P534" s="50">
        <v>0</v>
      </c>
      <c r="Q534" s="52">
        <f>Vaksin[[#This Row],[qtySaldoAkhir2025]]*Vaksin[[#This Row],[hargaSatuan]]</f>
        <v>0</v>
      </c>
      <c r="S534" s="32">
        <f t="shared" si="16"/>
        <v>0</v>
      </c>
      <c r="T534" s="32">
        <f t="shared" si="17"/>
        <v>0</v>
      </c>
    </row>
    <row r="535" spans="1:20" ht="14.4" x14ac:dyDescent="0.3">
      <c r="A535" s="44">
        <v>29</v>
      </c>
      <c r="B535" s="45" t="s">
        <v>696</v>
      </c>
      <c r="C535" s="46" t="s">
        <v>689</v>
      </c>
      <c r="D535" s="47">
        <v>3663121</v>
      </c>
      <c r="E535" s="48">
        <v>45778</v>
      </c>
      <c r="F535" s="49">
        <v>51351</v>
      </c>
      <c r="G535" s="45" t="s">
        <v>40</v>
      </c>
      <c r="H535" s="50">
        <v>0</v>
      </c>
      <c r="I535" s="49">
        <f>Vaksin[[#This Row],[qtySaldoAwalSem1]]*Vaksin[[#This Row],[hargaSatuan]]</f>
        <v>0</v>
      </c>
      <c r="J535" s="50">
        <v>306</v>
      </c>
      <c r="K535" s="51">
        <f>Vaksin[[#This Row],[qtyTerima2025]]*Vaksin[[#This Row],[hargaSatuan]]</f>
        <v>15713406</v>
      </c>
      <c r="L535" s="50">
        <v>0</v>
      </c>
      <c r="M535" s="51">
        <f>Vaksin[[#This Row],[qtyDist2025]]*Vaksin[[#This Row],[hargaSatuan]]</f>
        <v>0</v>
      </c>
      <c r="N535" s="50">
        <v>306</v>
      </c>
      <c r="O535" s="51">
        <f>Vaksin[[#This Row],[qtyEd2025]]*Vaksin[[#This Row],[hargaSatuan]]</f>
        <v>15713406</v>
      </c>
      <c r="P535" s="50">
        <v>0</v>
      </c>
      <c r="Q535" s="52">
        <f>Vaksin[[#This Row],[qtySaldoAkhir2025]]*Vaksin[[#This Row],[hargaSatuan]]</f>
        <v>0</v>
      </c>
      <c r="S535" s="32">
        <f t="shared" si="16"/>
        <v>0</v>
      </c>
      <c r="T535" s="32">
        <f t="shared" si="17"/>
        <v>0</v>
      </c>
    </row>
    <row r="536" spans="1:20" ht="14.4" x14ac:dyDescent="0.3">
      <c r="A536" s="44">
        <v>30</v>
      </c>
      <c r="B536" s="45" t="s">
        <v>697</v>
      </c>
      <c r="C536" s="46" t="s">
        <v>408</v>
      </c>
      <c r="D536" s="47" t="s">
        <v>698</v>
      </c>
      <c r="E536" s="48">
        <v>45778</v>
      </c>
      <c r="F536" s="49">
        <v>1375000</v>
      </c>
      <c r="G536" s="45" t="s">
        <v>40</v>
      </c>
      <c r="H536" s="50">
        <v>1</v>
      </c>
      <c r="I536" s="49">
        <f>Vaksin[[#This Row],[qtySaldoAwalSem1]]*Vaksin[[#This Row],[hargaSatuan]]</f>
        <v>1375000</v>
      </c>
      <c r="J536" s="50">
        <v>0</v>
      </c>
      <c r="K536" s="51">
        <f>Vaksin[[#This Row],[qtyTerima2025]]*Vaksin[[#This Row],[hargaSatuan]]</f>
        <v>0</v>
      </c>
      <c r="L536" s="50">
        <v>1</v>
      </c>
      <c r="M536" s="51">
        <f>Vaksin[[#This Row],[qtyDist2025]]*Vaksin[[#This Row],[hargaSatuan]]</f>
        <v>1375000</v>
      </c>
      <c r="N536" s="50">
        <v>0</v>
      </c>
      <c r="O536" s="51">
        <f>Vaksin[[#This Row],[qtyEd2025]]*Vaksin[[#This Row],[hargaSatuan]]</f>
        <v>0</v>
      </c>
      <c r="P536" s="50">
        <v>0</v>
      </c>
      <c r="Q536" s="52">
        <f>Vaksin[[#This Row],[qtySaldoAkhir2025]]*Vaksin[[#This Row],[hargaSatuan]]</f>
        <v>0</v>
      </c>
      <c r="S536" s="32">
        <f t="shared" si="16"/>
        <v>0</v>
      </c>
      <c r="T536" s="32">
        <f t="shared" si="17"/>
        <v>0</v>
      </c>
    </row>
    <row r="537" spans="1:20" ht="14.4" x14ac:dyDescent="0.3">
      <c r="A537" s="44">
        <v>31</v>
      </c>
      <c r="B537" s="45" t="s">
        <v>697</v>
      </c>
      <c r="C537" s="46" t="s">
        <v>408</v>
      </c>
      <c r="D537" s="47" t="s">
        <v>699</v>
      </c>
      <c r="E537" s="48">
        <v>45947</v>
      </c>
      <c r="F537" s="49">
        <v>1389500</v>
      </c>
      <c r="G537" s="45" t="s">
        <v>40</v>
      </c>
      <c r="H537" s="50">
        <v>0</v>
      </c>
      <c r="I537" s="49">
        <f>Vaksin[[#This Row],[qtySaldoAwalSem1]]*Vaksin[[#This Row],[hargaSatuan]]</f>
        <v>0</v>
      </c>
      <c r="J537" s="50">
        <v>15</v>
      </c>
      <c r="K537" s="51">
        <f>Vaksin[[#This Row],[qtyTerima2025]]*Vaksin[[#This Row],[hargaSatuan]]</f>
        <v>20842500</v>
      </c>
      <c r="L537" s="50">
        <v>15</v>
      </c>
      <c r="M537" s="51">
        <f>Vaksin[[#This Row],[qtyDist2025]]*Vaksin[[#This Row],[hargaSatuan]]</f>
        <v>20842500</v>
      </c>
      <c r="N537" s="50">
        <v>0</v>
      </c>
      <c r="O537" s="51">
        <f>Vaksin[[#This Row],[qtyEd2025]]*Vaksin[[#This Row],[hargaSatuan]]</f>
        <v>0</v>
      </c>
      <c r="P537" s="50">
        <v>0</v>
      </c>
      <c r="Q537" s="52">
        <f>Vaksin[[#This Row],[qtySaldoAkhir2025]]*Vaksin[[#This Row],[hargaSatuan]]</f>
        <v>0</v>
      </c>
      <c r="S537" s="32">
        <f t="shared" si="16"/>
        <v>0</v>
      </c>
      <c r="T537" s="32">
        <f t="shared" si="17"/>
        <v>0</v>
      </c>
    </row>
    <row r="538" spans="1:20" ht="14.4" x14ac:dyDescent="0.3">
      <c r="A538" s="44">
        <v>32</v>
      </c>
      <c r="B538" s="45" t="s">
        <v>697</v>
      </c>
      <c r="C538" s="46" t="s">
        <v>408</v>
      </c>
      <c r="D538" s="47" t="s">
        <v>700</v>
      </c>
      <c r="E538" s="48">
        <v>46327</v>
      </c>
      <c r="F538" s="49">
        <v>1389500</v>
      </c>
      <c r="G538" s="45" t="s">
        <v>40</v>
      </c>
      <c r="H538" s="50">
        <v>0</v>
      </c>
      <c r="I538" s="49">
        <f>Vaksin[[#This Row],[qtySaldoAwalSem1]]*Vaksin[[#This Row],[hargaSatuan]]</f>
        <v>0</v>
      </c>
      <c r="J538" s="50">
        <v>7</v>
      </c>
      <c r="K538" s="51">
        <f>Vaksin[[#This Row],[qtyTerima2025]]*Vaksin[[#This Row],[hargaSatuan]]</f>
        <v>9726500</v>
      </c>
      <c r="L538" s="50">
        <v>7</v>
      </c>
      <c r="M538" s="51">
        <f>Vaksin[[#This Row],[qtyDist2025]]*Vaksin[[#This Row],[hargaSatuan]]</f>
        <v>9726500</v>
      </c>
      <c r="N538" s="50">
        <v>0</v>
      </c>
      <c r="O538" s="51">
        <f>Vaksin[[#This Row],[qtyEd2025]]*Vaksin[[#This Row],[hargaSatuan]]</f>
        <v>0</v>
      </c>
      <c r="P538" s="50">
        <v>0</v>
      </c>
      <c r="Q538" s="52">
        <f>Vaksin[[#This Row],[qtySaldoAkhir2025]]*Vaksin[[#This Row],[hargaSatuan]]</f>
        <v>0</v>
      </c>
      <c r="S538" s="32">
        <f t="shared" si="16"/>
        <v>0</v>
      </c>
      <c r="T538" s="32">
        <f t="shared" si="17"/>
        <v>0</v>
      </c>
    </row>
    <row r="539" spans="1:20" ht="14.4" x14ac:dyDescent="0.3">
      <c r="A539" s="44">
        <v>33</v>
      </c>
      <c r="B539" s="45" t="s">
        <v>697</v>
      </c>
      <c r="C539" s="46" t="s">
        <v>408</v>
      </c>
      <c r="D539" s="47" t="s">
        <v>698</v>
      </c>
      <c r="E539" s="48">
        <v>46419</v>
      </c>
      <c r="F539" s="49">
        <v>1389500</v>
      </c>
      <c r="G539" s="45" t="s">
        <v>40</v>
      </c>
      <c r="H539" s="50">
        <v>0</v>
      </c>
      <c r="I539" s="49">
        <f>Vaksin[[#This Row],[qtySaldoAwalSem1]]*Vaksin[[#This Row],[hargaSatuan]]</f>
        <v>0</v>
      </c>
      <c r="J539" s="50">
        <v>35</v>
      </c>
      <c r="K539" s="51">
        <f>Vaksin[[#This Row],[qtyTerima2025]]*Vaksin[[#This Row],[hargaSatuan]]</f>
        <v>48632500</v>
      </c>
      <c r="L539" s="50">
        <v>35</v>
      </c>
      <c r="M539" s="51">
        <f>Vaksin[[#This Row],[qtyDist2025]]*Vaksin[[#This Row],[hargaSatuan]]</f>
        <v>48632500</v>
      </c>
      <c r="N539" s="50">
        <v>0</v>
      </c>
      <c r="O539" s="51">
        <f>Vaksin[[#This Row],[qtyEd2025]]*Vaksin[[#This Row],[hargaSatuan]]</f>
        <v>0</v>
      </c>
      <c r="P539" s="50">
        <v>0</v>
      </c>
      <c r="Q539" s="52">
        <f>Vaksin[[#This Row],[qtySaldoAkhir2025]]*Vaksin[[#This Row],[hargaSatuan]]</f>
        <v>0</v>
      </c>
      <c r="S539" s="32">
        <f t="shared" si="16"/>
        <v>0</v>
      </c>
      <c r="T539" s="32">
        <f t="shared" si="17"/>
        <v>0</v>
      </c>
    </row>
    <row r="540" spans="1:20" ht="14.4" x14ac:dyDescent="0.3">
      <c r="A540" s="44">
        <v>34</v>
      </c>
      <c r="B540" s="45" t="s">
        <v>701</v>
      </c>
      <c r="C540" s="46" t="s">
        <v>408</v>
      </c>
      <c r="D540" s="47">
        <v>4013924</v>
      </c>
      <c r="E540" s="48">
        <v>46419</v>
      </c>
      <c r="F540" s="49">
        <v>163773</v>
      </c>
      <c r="G540" s="45" t="s">
        <v>40</v>
      </c>
      <c r="H540" s="50">
        <v>1</v>
      </c>
      <c r="I540" s="49">
        <f>Vaksin[[#This Row],[qtySaldoAwalSem1]]*Vaksin[[#This Row],[hargaSatuan]]</f>
        <v>163773</v>
      </c>
      <c r="J540" s="50">
        <v>243</v>
      </c>
      <c r="K540" s="51">
        <f>Vaksin[[#This Row],[qtyTerima2025]]*Vaksin[[#This Row],[hargaSatuan]]</f>
        <v>39796839</v>
      </c>
      <c r="L540" s="50">
        <v>244</v>
      </c>
      <c r="M540" s="51">
        <f>Vaksin[[#This Row],[qtyDist2025]]*Vaksin[[#This Row],[hargaSatuan]]</f>
        <v>39960612</v>
      </c>
      <c r="N540" s="50">
        <v>0</v>
      </c>
      <c r="O540" s="51">
        <f>Vaksin[[#This Row],[qtyEd2025]]*Vaksin[[#This Row],[hargaSatuan]]</f>
        <v>0</v>
      </c>
      <c r="P540" s="50">
        <v>0</v>
      </c>
      <c r="Q540" s="52">
        <f>Vaksin[[#This Row],[qtySaldoAkhir2025]]*Vaksin[[#This Row],[hargaSatuan]]</f>
        <v>0</v>
      </c>
      <c r="S540" s="32">
        <f t="shared" si="16"/>
        <v>0</v>
      </c>
      <c r="T540" s="32">
        <f t="shared" si="17"/>
        <v>0</v>
      </c>
    </row>
    <row r="541" spans="1:20" ht="14.4" x14ac:dyDescent="0.3">
      <c r="A541" s="44">
        <v>35</v>
      </c>
      <c r="B541" s="45" t="s">
        <v>701</v>
      </c>
      <c r="C541" s="46" t="s">
        <v>408</v>
      </c>
      <c r="D541" s="47">
        <v>401624</v>
      </c>
      <c r="E541" s="48">
        <v>46568</v>
      </c>
      <c r="F541" s="49">
        <v>174387.39</v>
      </c>
      <c r="G541" s="45" t="s">
        <v>40</v>
      </c>
      <c r="H541" s="50">
        <v>0</v>
      </c>
      <c r="I541" s="49">
        <f>Vaksin[[#This Row],[qtySaldoAwalSem1]]*Vaksin[[#This Row],[hargaSatuan]]</f>
        <v>0</v>
      </c>
      <c r="J541" s="50">
        <v>3666</v>
      </c>
      <c r="K541" s="51">
        <f>Vaksin[[#This Row],[qtyTerima2025]]*Vaksin[[#This Row],[hargaSatuan]]</f>
        <v>639304171.74000001</v>
      </c>
      <c r="L541" s="50">
        <v>3666</v>
      </c>
      <c r="M541" s="51">
        <f>Vaksin[[#This Row],[qtyDist2025]]*Vaksin[[#This Row],[hargaSatuan]]</f>
        <v>639304171.74000001</v>
      </c>
      <c r="N541" s="50">
        <v>0</v>
      </c>
      <c r="O541" s="51">
        <f>Vaksin[[#This Row],[qtyEd2025]]*Vaksin[[#This Row],[hargaSatuan]]</f>
        <v>0</v>
      </c>
      <c r="P541" s="50">
        <v>0</v>
      </c>
      <c r="Q541" s="52">
        <f>Vaksin[[#This Row],[qtySaldoAkhir2025]]*Vaksin[[#This Row],[hargaSatuan]]</f>
        <v>0</v>
      </c>
      <c r="S541" s="32">
        <f t="shared" si="16"/>
        <v>0</v>
      </c>
      <c r="T541" s="32">
        <f t="shared" si="17"/>
        <v>0</v>
      </c>
    </row>
    <row r="542" spans="1:20" ht="14.4" x14ac:dyDescent="0.3">
      <c r="A542" s="44">
        <v>36</v>
      </c>
      <c r="B542" s="45" t="s">
        <v>701</v>
      </c>
      <c r="C542" s="46" t="s">
        <v>408</v>
      </c>
      <c r="D542" s="47">
        <v>4016524</v>
      </c>
      <c r="E542" s="48">
        <v>46568</v>
      </c>
      <c r="F542" s="49">
        <v>174387.39</v>
      </c>
      <c r="G542" s="45" t="s">
        <v>40</v>
      </c>
      <c r="H542" s="50">
        <v>0</v>
      </c>
      <c r="I542" s="49">
        <f>Vaksin[[#This Row],[qtySaldoAwalSem1]]*Vaksin[[#This Row],[hargaSatuan]]</f>
        <v>0</v>
      </c>
      <c r="J542" s="50">
        <v>520</v>
      </c>
      <c r="K542" s="51">
        <f>Vaksin[[#This Row],[qtyTerima2025]]*Vaksin[[#This Row],[hargaSatuan]]</f>
        <v>90681442.800000012</v>
      </c>
      <c r="L542" s="50">
        <v>520</v>
      </c>
      <c r="M542" s="51">
        <f>Vaksin[[#This Row],[qtyDist2025]]*Vaksin[[#This Row],[hargaSatuan]]</f>
        <v>90681442.800000012</v>
      </c>
      <c r="N542" s="50">
        <v>0</v>
      </c>
      <c r="O542" s="51">
        <f>Vaksin[[#This Row],[qtyEd2025]]*Vaksin[[#This Row],[hargaSatuan]]</f>
        <v>0</v>
      </c>
      <c r="P542" s="50">
        <v>0</v>
      </c>
      <c r="Q542" s="52">
        <f>Vaksin[[#This Row],[qtySaldoAkhir2025]]*Vaksin[[#This Row],[hargaSatuan]]</f>
        <v>0</v>
      </c>
      <c r="S542" s="32">
        <f t="shared" si="16"/>
        <v>0</v>
      </c>
      <c r="T542" s="32">
        <f t="shared" si="17"/>
        <v>0</v>
      </c>
    </row>
    <row r="543" spans="1:20" ht="14.4" x14ac:dyDescent="0.3">
      <c r="A543" s="44">
        <v>37</v>
      </c>
      <c r="B543" s="45" t="s">
        <v>701</v>
      </c>
      <c r="C543" s="46" t="s">
        <v>408</v>
      </c>
      <c r="D543" s="47">
        <v>4018624</v>
      </c>
      <c r="E543" s="48">
        <v>45835</v>
      </c>
      <c r="F543" s="49">
        <v>174387.39</v>
      </c>
      <c r="G543" s="45" t="s">
        <v>40</v>
      </c>
      <c r="H543" s="50">
        <v>0</v>
      </c>
      <c r="I543" s="49">
        <f>Vaksin[[#This Row],[qtySaldoAwalSem1]]*Vaksin[[#This Row],[hargaSatuan]]</f>
        <v>0</v>
      </c>
      <c r="J543" s="50">
        <v>210</v>
      </c>
      <c r="K543" s="51">
        <f>Vaksin[[#This Row],[qtyTerima2025]]*Vaksin[[#This Row],[hargaSatuan]]</f>
        <v>36621351.900000006</v>
      </c>
      <c r="L543" s="50">
        <v>210</v>
      </c>
      <c r="M543" s="51">
        <f>Vaksin[[#This Row],[qtyDist2025]]*Vaksin[[#This Row],[hargaSatuan]]</f>
        <v>36621351.900000006</v>
      </c>
      <c r="N543" s="50">
        <v>0</v>
      </c>
      <c r="O543" s="51">
        <f>Vaksin[[#This Row],[qtyEd2025]]*Vaksin[[#This Row],[hargaSatuan]]</f>
        <v>0</v>
      </c>
      <c r="P543" s="50">
        <v>0</v>
      </c>
      <c r="Q543" s="52">
        <f>Vaksin[[#This Row],[qtySaldoAkhir2025]]*Vaksin[[#This Row],[hargaSatuan]]</f>
        <v>0</v>
      </c>
      <c r="S543" s="32">
        <f t="shared" si="16"/>
        <v>0</v>
      </c>
      <c r="T543" s="32">
        <f t="shared" si="17"/>
        <v>0</v>
      </c>
    </row>
    <row r="544" spans="1:20" ht="14.4" x14ac:dyDescent="0.3">
      <c r="A544" s="44">
        <v>38</v>
      </c>
      <c r="B544" s="45" t="s">
        <v>701</v>
      </c>
      <c r="C544" s="46" t="s">
        <v>408</v>
      </c>
      <c r="D544" s="47">
        <v>401624</v>
      </c>
      <c r="E544" s="48">
        <v>46568</v>
      </c>
      <c r="F544" s="49">
        <v>174387.39</v>
      </c>
      <c r="G544" s="45" t="s">
        <v>40</v>
      </c>
      <c r="H544" s="50">
        <v>0</v>
      </c>
      <c r="I544" s="49">
        <f>Vaksin[[#This Row],[qtySaldoAwalSem1]]*Vaksin[[#This Row],[hargaSatuan]]</f>
        <v>0</v>
      </c>
      <c r="J544" s="50">
        <v>171</v>
      </c>
      <c r="K544" s="51">
        <f>Vaksin[[#This Row],[qtyTerima2025]]*Vaksin[[#This Row],[hargaSatuan]]</f>
        <v>29820243.690000001</v>
      </c>
      <c r="L544" s="50">
        <v>34</v>
      </c>
      <c r="M544" s="51">
        <f>Vaksin[[#This Row],[qtyDist2025]]*Vaksin[[#This Row],[hargaSatuan]]</f>
        <v>5929171.2600000007</v>
      </c>
      <c r="N544" s="50">
        <v>0</v>
      </c>
      <c r="O544" s="51">
        <f>Vaksin[[#This Row],[qtyEd2025]]*Vaksin[[#This Row],[hargaSatuan]]</f>
        <v>0</v>
      </c>
      <c r="P544" s="50">
        <v>137</v>
      </c>
      <c r="Q544" s="52">
        <f>Vaksin[[#This Row],[qtySaldoAkhir2025]]*Vaksin[[#This Row],[hargaSatuan]]</f>
        <v>23891072.430000003</v>
      </c>
      <c r="S544" s="32">
        <f t="shared" si="16"/>
        <v>23891072.43</v>
      </c>
      <c r="T544" s="32">
        <f t="shared" si="17"/>
        <v>3.7252902984619141E-9</v>
      </c>
    </row>
    <row r="545" spans="1:20" ht="14.4" x14ac:dyDescent="0.3">
      <c r="A545" s="44">
        <v>39</v>
      </c>
      <c r="B545" s="45" t="s">
        <v>702</v>
      </c>
      <c r="C545" s="46" t="s">
        <v>408</v>
      </c>
      <c r="D545" s="47">
        <v>6000324</v>
      </c>
      <c r="E545" s="48">
        <v>46626</v>
      </c>
      <c r="F545" s="49">
        <v>45879.28</v>
      </c>
      <c r="G545" s="45" t="s">
        <v>40</v>
      </c>
      <c r="H545" s="50">
        <v>0</v>
      </c>
      <c r="I545" s="49">
        <f>Vaksin[[#This Row],[qtySaldoAwalSem1]]*Vaksin[[#This Row],[hargaSatuan]]</f>
        <v>0</v>
      </c>
      <c r="J545" s="50">
        <v>200</v>
      </c>
      <c r="K545" s="51">
        <f>Vaksin[[#This Row],[qtyTerima2025]]*Vaksin[[#This Row],[hargaSatuan]]</f>
        <v>9175856</v>
      </c>
      <c r="L545" s="50">
        <v>200</v>
      </c>
      <c r="M545" s="51">
        <f>Vaksin[[#This Row],[qtyDist2025]]*Vaksin[[#This Row],[hargaSatuan]]</f>
        <v>9175856</v>
      </c>
      <c r="N545" s="50">
        <v>0</v>
      </c>
      <c r="O545" s="51">
        <f>Vaksin[[#This Row],[qtyEd2025]]*Vaksin[[#This Row],[hargaSatuan]]</f>
        <v>0</v>
      </c>
      <c r="P545" s="50">
        <v>0</v>
      </c>
      <c r="Q545" s="52">
        <f>Vaksin[[#This Row],[qtySaldoAkhir2025]]*Vaksin[[#This Row],[hargaSatuan]]</f>
        <v>0</v>
      </c>
      <c r="S545" s="32">
        <f t="shared" si="16"/>
        <v>0</v>
      </c>
      <c r="T545" s="32">
        <f t="shared" si="17"/>
        <v>0</v>
      </c>
    </row>
    <row r="546" spans="1:20" ht="14.4" x14ac:dyDescent="0.3">
      <c r="A546" s="44"/>
      <c r="B546" s="45" t="s">
        <v>702</v>
      </c>
      <c r="C546" s="46" t="s">
        <v>408</v>
      </c>
      <c r="D546" s="86" t="s">
        <v>684</v>
      </c>
      <c r="E546" s="48">
        <v>46266</v>
      </c>
      <c r="F546" s="49">
        <v>45879.28</v>
      </c>
      <c r="G546" s="45" t="s">
        <v>40</v>
      </c>
      <c r="H546" s="50">
        <v>0</v>
      </c>
      <c r="I546" s="49">
        <f>Vaksin[[#This Row],[qtySaldoAwalSem1]]*Vaksin[[#This Row],[hargaSatuan]]</f>
        <v>0</v>
      </c>
      <c r="J546" s="50">
        <v>300</v>
      </c>
      <c r="K546" s="51">
        <f>Vaksin[[#This Row],[qtyTerima2025]]*Vaksin[[#This Row],[hargaSatuan]]</f>
        <v>13763784</v>
      </c>
      <c r="L546" s="50">
        <v>300</v>
      </c>
      <c r="M546" s="51">
        <f>Vaksin[[#This Row],[qtyDist2025]]*Vaksin[[#This Row],[hargaSatuan]]</f>
        <v>13763784</v>
      </c>
      <c r="N546" s="50">
        <v>0</v>
      </c>
      <c r="O546" s="51">
        <f>Vaksin[[#This Row],[qtyEd2025]]*Vaksin[[#This Row],[hargaSatuan]]</f>
        <v>0</v>
      </c>
      <c r="P546" s="50">
        <v>0</v>
      </c>
      <c r="Q546" s="52">
        <f>Vaksin[[#This Row],[qtySaldoAkhir2025]]*Vaksin[[#This Row],[hargaSatuan]]</f>
        <v>0</v>
      </c>
      <c r="S546" s="32"/>
      <c r="T546" s="32"/>
    </row>
    <row r="547" spans="1:20" ht="14.4" x14ac:dyDescent="0.3">
      <c r="A547" s="44">
        <v>40</v>
      </c>
      <c r="B547" s="45" t="s">
        <v>703</v>
      </c>
      <c r="C547" s="46" t="s">
        <v>408</v>
      </c>
      <c r="D547" s="47" t="s">
        <v>704</v>
      </c>
      <c r="E547" s="48">
        <v>46305</v>
      </c>
      <c r="F547" s="49">
        <v>29279.279999999999</v>
      </c>
      <c r="G547" s="45" t="s">
        <v>40</v>
      </c>
      <c r="H547" s="50">
        <v>0</v>
      </c>
      <c r="I547" s="49">
        <f>Vaksin[[#This Row],[qtySaldoAwalSem1]]*Vaksin[[#This Row],[hargaSatuan]]</f>
        <v>0</v>
      </c>
      <c r="J547" s="50">
        <v>50</v>
      </c>
      <c r="K547" s="51">
        <f>Vaksin[[#This Row],[qtyTerima2025]]*Vaksin[[#This Row],[hargaSatuan]]</f>
        <v>1463964</v>
      </c>
      <c r="L547" s="50">
        <v>50</v>
      </c>
      <c r="M547" s="51">
        <f>Vaksin[[#This Row],[qtyDist2025]]*Vaksin[[#This Row],[hargaSatuan]]</f>
        <v>1463964</v>
      </c>
      <c r="N547" s="50">
        <v>0</v>
      </c>
      <c r="O547" s="51">
        <f>Vaksin[[#This Row],[qtyEd2025]]*Vaksin[[#This Row],[hargaSatuan]]</f>
        <v>0</v>
      </c>
      <c r="P547" s="50">
        <v>0</v>
      </c>
      <c r="Q547" s="52">
        <f>Vaksin[[#This Row],[qtySaldoAkhir2025]]*Vaksin[[#This Row],[hargaSatuan]]</f>
        <v>0</v>
      </c>
      <c r="S547" s="32">
        <f t="shared" si="16"/>
        <v>0</v>
      </c>
      <c r="T547" s="32">
        <f t="shared" si="17"/>
        <v>0</v>
      </c>
    </row>
    <row r="548" spans="1:20" ht="14.4" x14ac:dyDescent="0.3">
      <c r="A548" s="44">
        <v>41</v>
      </c>
      <c r="B548" s="45" t="s">
        <v>705</v>
      </c>
      <c r="C548" s="46" t="s">
        <v>408</v>
      </c>
      <c r="D548" s="47" t="s">
        <v>706</v>
      </c>
      <c r="E548" s="48">
        <v>46023</v>
      </c>
      <c r="F548" s="49">
        <v>29279.279999999999</v>
      </c>
      <c r="G548" s="45" t="s">
        <v>40</v>
      </c>
      <c r="H548" s="50">
        <v>40</v>
      </c>
      <c r="I548" s="49">
        <f>Vaksin[[#This Row],[qtySaldoAwalSem1]]*Vaksin[[#This Row],[hargaSatuan]]</f>
        <v>1171171.2</v>
      </c>
      <c r="J548" s="50">
        <v>0</v>
      </c>
      <c r="K548" s="51">
        <f>Vaksin[[#This Row],[qtyTerima2025]]*Vaksin[[#This Row],[hargaSatuan]]</f>
        <v>0</v>
      </c>
      <c r="L548" s="50">
        <v>40</v>
      </c>
      <c r="M548" s="51">
        <f>Vaksin[[#This Row],[qtyDist2025]]*Vaksin[[#This Row],[hargaSatuan]]</f>
        <v>1171171.2</v>
      </c>
      <c r="N548" s="50">
        <v>0</v>
      </c>
      <c r="O548" s="51">
        <f>Vaksin[[#This Row],[qtyEd2025]]*Vaksin[[#This Row],[hargaSatuan]]</f>
        <v>0</v>
      </c>
      <c r="P548" s="50">
        <v>0</v>
      </c>
      <c r="Q548" s="52">
        <f>Vaksin[[#This Row],[qtySaldoAkhir2025]]*Vaksin[[#This Row],[hargaSatuan]]</f>
        <v>0</v>
      </c>
      <c r="S548" s="32">
        <f t="shared" si="16"/>
        <v>0</v>
      </c>
      <c r="T548" s="32">
        <f t="shared" si="17"/>
        <v>0</v>
      </c>
    </row>
    <row r="549" spans="1:20" ht="14.4" x14ac:dyDescent="0.3">
      <c r="A549" s="44">
        <v>42</v>
      </c>
      <c r="B549" s="45" t="s">
        <v>705</v>
      </c>
      <c r="C549" s="46" t="s">
        <v>408</v>
      </c>
      <c r="D549" s="47" t="s">
        <v>707</v>
      </c>
      <c r="E549" s="48">
        <v>45962</v>
      </c>
      <c r="F549" s="49">
        <v>29279.279999999999</v>
      </c>
      <c r="G549" s="45" t="s">
        <v>40</v>
      </c>
      <c r="H549" s="50">
        <v>30</v>
      </c>
      <c r="I549" s="49">
        <f>Vaksin[[#This Row],[qtySaldoAwalSem1]]*Vaksin[[#This Row],[hargaSatuan]]</f>
        <v>878378.39999999991</v>
      </c>
      <c r="J549" s="50">
        <v>0</v>
      </c>
      <c r="K549" s="51">
        <f>Vaksin[[#This Row],[qtyTerima2025]]*Vaksin[[#This Row],[hargaSatuan]]</f>
        <v>0</v>
      </c>
      <c r="L549" s="50">
        <v>30</v>
      </c>
      <c r="M549" s="51">
        <f>Vaksin[[#This Row],[qtyDist2025]]*Vaksin[[#This Row],[hargaSatuan]]</f>
        <v>878378.39999999991</v>
      </c>
      <c r="N549" s="50">
        <v>0</v>
      </c>
      <c r="O549" s="51">
        <f>Vaksin[[#This Row],[qtyEd2025]]*Vaksin[[#This Row],[hargaSatuan]]</f>
        <v>0</v>
      </c>
      <c r="P549" s="50">
        <v>0</v>
      </c>
      <c r="Q549" s="52">
        <f>Vaksin[[#This Row],[qtySaldoAkhir2025]]*Vaksin[[#This Row],[hargaSatuan]]</f>
        <v>0</v>
      </c>
      <c r="S549" s="32">
        <f t="shared" si="16"/>
        <v>0</v>
      </c>
      <c r="T549" s="32">
        <f t="shared" si="17"/>
        <v>0</v>
      </c>
    </row>
    <row r="550" spans="1:20" ht="14.4" x14ac:dyDescent="0.3">
      <c r="A550" s="44">
        <v>43</v>
      </c>
      <c r="B550" s="45" t="s">
        <v>705</v>
      </c>
      <c r="C550" s="46" t="s">
        <v>408</v>
      </c>
      <c r="D550" s="47" t="s">
        <v>708</v>
      </c>
      <c r="E550" s="48">
        <v>46296</v>
      </c>
      <c r="F550" s="49">
        <v>29279.279999999999</v>
      </c>
      <c r="G550" s="45" t="s">
        <v>40</v>
      </c>
      <c r="H550" s="50">
        <v>0</v>
      </c>
      <c r="I550" s="49">
        <f>Vaksin[[#This Row],[qtySaldoAwalSem1]]*Vaksin[[#This Row],[hargaSatuan]]</f>
        <v>0</v>
      </c>
      <c r="J550" s="50">
        <v>150</v>
      </c>
      <c r="K550" s="51">
        <f>Vaksin[[#This Row],[qtyTerima2025]]*Vaksin[[#This Row],[hargaSatuan]]</f>
        <v>4391892</v>
      </c>
      <c r="L550" s="50">
        <v>150</v>
      </c>
      <c r="M550" s="51">
        <f>Vaksin[[#This Row],[qtyDist2025]]*Vaksin[[#This Row],[hargaSatuan]]</f>
        <v>4391892</v>
      </c>
      <c r="N550" s="50">
        <v>0</v>
      </c>
      <c r="O550" s="51">
        <f>Vaksin[[#This Row],[qtyEd2025]]*Vaksin[[#This Row],[hargaSatuan]]</f>
        <v>0</v>
      </c>
      <c r="P550" s="50">
        <v>0</v>
      </c>
      <c r="Q550" s="52">
        <f>Vaksin[[#This Row],[qtySaldoAkhir2025]]*Vaksin[[#This Row],[hargaSatuan]]</f>
        <v>0</v>
      </c>
      <c r="S550" s="32">
        <f t="shared" si="16"/>
        <v>0</v>
      </c>
      <c r="T550" s="32">
        <f t="shared" si="17"/>
        <v>0</v>
      </c>
    </row>
    <row r="551" spans="1:20" ht="14.4" x14ac:dyDescent="0.3">
      <c r="A551" s="44">
        <v>44</v>
      </c>
      <c r="B551" s="45" t="s">
        <v>705</v>
      </c>
      <c r="C551" s="46" t="s">
        <v>408</v>
      </c>
      <c r="D551" s="47" t="s">
        <v>709</v>
      </c>
      <c r="E551" s="48">
        <v>46296</v>
      </c>
      <c r="F551" s="49">
        <v>29279.279999999999</v>
      </c>
      <c r="G551" s="45" t="s">
        <v>40</v>
      </c>
      <c r="H551" s="50">
        <v>0</v>
      </c>
      <c r="I551" s="49">
        <f>Vaksin[[#This Row],[qtySaldoAwalSem1]]*Vaksin[[#This Row],[hargaSatuan]]</f>
        <v>0</v>
      </c>
      <c r="J551" s="50">
        <v>400</v>
      </c>
      <c r="K551" s="51">
        <f>Vaksin[[#This Row],[qtyTerima2025]]*Vaksin[[#This Row],[hargaSatuan]]</f>
        <v>11711712</v>
      </c>
      <c r="L551" s="50">
        <v>400</v>
      </c>
      <c r="M551" s="51">
        <f>Vaksin[[#This Row],[qtyDist2025]]*Vaksin[[#This Row],[hargaSatuan]]</f>
        <v>11711712</v>
      </c>
      <c r="N551" s="50">
        <v>0</v>
      </c>
      <c r="O551" s="51">
        <f>Vaksin[[#This Row],[qtyEd2025]]*Vaksin[[#This Row],[hargaSatuan]]</f>
        <v>0</v>
      </c>
      <c r="P551" s="50">
        <v>0</v>
      </c>
      <c r="Q551" s="52">
        <f>Vaksin[[#This Row],[qtySaldoAkhir2025]]*Vaksin[[#This Row],[hargaSatuan]]</f>
        <v>0</v>
      </c>
      <c r="S551" s="32">
        <f t="shared" si="16"/>
        <v>0</v>
      </c>
      <c r="T551" s="32">
        <f t="shared" si="17"/>
        <v>0</v>
      </c>
    </row>
    <row r="552" spans="1:20" ht="14.4" x14ac:dyDescent="0.3">
      <c r="A552" s="44">
        <v>45</v>
      </c>
      <c r="B552" s="45" t="s">
        <v>705</v>
      </c>
      <c r="C552" s="46" t="s">
        <v>408</v>
      </c>
      <c r="D552" s="47">
        <v>4600224</v>
      </c>
      <c r="E552" s="48">
        <v>46565</v>
      </c>
      <c r="F552" s="49">
        <v>29279.279999999999</v>
      </c>
      <c r="G552" s="45" t="s">
        <v>40</v>
      </c>
      <c r="H552" s="50">
        <v>0</v>
      </c>
      <c r="I552" s="49">
        <f>Vaksin[[#This Row],[qtySaldoAwalSem1]]*Vaksin[[#This Row],[hargaSatuan]]</f>
        <v>0</v>
      </c>
      <c r="J552" s="50">
        <v>340</v>
      </c>
      <c r="K552" s="51">
        <f>Vaksin[[#This Row],[qtyTerima2025]]*Vaksin[[#This Row],[hargaSatuan]]</f>
        <v>9954955.1999999993</v>
      </c>
      <c r="L552" s="50">
        <v>52</v>
      </c>
      <c r="M552" s="51">
        <f>Vaksin[[#This Row],[qtyDist2025]]*Vaksin[[#This Row],[hargaSatuan]]</f>
        <v>1522522.56</v>
      </c>
      <c r="N552" s="50">
        <v>0</v>
      </c>
      <c r="O552" s="51">
        <f>Vaksin[[#This Row],[qtyEd2025]]*Vaksin[[#This Row],[hargaSatuan]]</f>
        <v>0</v>
      </c>
      <c r="P552" s="50">
        <v>288</v>
      </c>
      <c r="Q552" s="52">
        <f>Vaksin[[#This Row],[qtySaldoAkhir2025]]*Vaksin[[#This Row],[hargaSatuan]]</f>
        <v>8432432.6400000006</v>
      </c>
      <c r="S552" s="32">
        <f t="shared" si="16"/>
        <v>8432432.6399999987</v>
      </c>
      <c r="T552" s="32">
        <f t="shared" si="17"/>
        <v>1.862645149230957E-9</v>
      </c>
    </row>
    <row r="553" spans="1:20" ht="14.4" x14ac:dyDescent="0.3">
      <c r="A553" s="44">
        <v>46</v>
      </c>
      <c r="B553" s="45" t="s">
        <v>705</v>
      </c>
      <c r="C553" s="46" t="s">
        <v>408</v>
      </c>
      <c r="D553" s="47">
        <v>413923</v>
      </c>
      <c r="E553" s="48">
        <v>46321</v>
      </c>
      <c r="F553" s="49">
        <v>29279.279999999999</v>
      </c>
      <c r="G553" s="45" t="s">
        <v>40</v>
      </c>
      <c r="H553" s="50">
        <v>0</v>
      </c>
      <c r="I553" s="49">
        <f>Vaksin[[#This Row],[qtySaldoAwalSem1]]*Vaksin[[#This Row],[hargaSatuan]]</f>
        <v>0</v>
      </c>
      <c r="J553" s="50">
        <v>620</v>
      </c>
      <c r="K553" s="51">
        <f>Vaksin[[#This Row],[qtyTerima2025]]*Vaksin[[#This Row],[hargaSatuan]]</f>
        <v>18153153.599999998</v>
      </c>
      <c r="L553" s="50">
        <v>620</v>
      </c>
      <c r="M553" s="51">
        <f>Vaksin[[#This Row],[qtyDist2025]]*Vaksin[[#This Row],[hargaSatuan]]</f>
        <v>18153153.599999998</v>
      </c>
      <c r="N553" s="50">
        <v>0</v>
      </c>
      <c r="O553" s="51">
        <f>Vaksin[[#This Row],[qtyEd2025]]*Vaksin[[#This Row],[hargaSatuan]]</f>
        <v>0</v>
      </c>
      <c r="P553" s="50">
        <v>0</v>
      </c>
      <c r="Q553" s="52">
        <f>Vaksin[[#This Row],[qtySaldoAkhir2025]]*Vaksin[[#This Row],[hargaSatuan]]</f>
        <v>0</v>
      </c>
      <c r="S553" s="32">
        <f t="shared" si="16"/>
        <v>0</v>
      </c>
      <c r="T553" s="32">
        <f t="shared" si="17"/>
        <v>0</v>
      </c>
    </row>
    <row r="554" spans="1:20" ht="14.4" x14ac:dyDescent="0.3">
      <c r="A554" s="44">
        <v>47</v>
      </c>
      <c r="B554" s="45" t="s">
        <v>710</v>
      </c>
      <c r="C554" s="46" t="s">
        <v>408</v>
      </c>
      <c r="D554" s="47" t="s">
        <v>711</v>
      </c>
      <c r="E554" s="48">
        <v>45778</v>
      </c>
      <c r="F554" s="49">
        <v>152600</v>
      </c>
      <c r="G554" s="45" t="s">
        <v>40</v>
      </c>
      <c r="H554" s="50">
        <v>140</v>
      </c>
      <c r="I554" s="49">
        <f>Vaksin[[#This Row],[qtySaldoAwalSem1]]*Vaksin[[#This Row],[hargaSatuan]]</f>
        <v>21364000</v>
      </c>
      <c r="J554" s="50">
        <v>50</v>
      </c>
      <c r="K554" s="51">
        <f>Vaksin[[#This Row],[qtyTerima2025]]*Vaksin[[#This Row],[hargaSatuan]]</f>
        <v>7630000</v>
      </c>
      <c r="L554" s="50">
        <v>190</v>
      </c>
      <c r="M554" s="51">
        <f>Vaksin[[#This Row],[qtyDist2025]]*Vaksin[[#This Row],[hargaSatuan]]</f>
        <v>28994000</v>
      </c>
      <c r="N554" s="50">
        <v>0</v>
      </c>
      <c r="O554" s="51">
        <f>Vaksin[[#This Row],[qtyEd2025]]*Vaksin[[#This Row],[hargaSatuan]]</f>
        <v>0</v>
      </c>
      <c r="P554" s="50">
        <v>0</v>
      </c>
      <c r="Q554" s="52">
        <f>Vaksin[[#This Row],[qtySaldoAkhir2025]]*Vaksin[[#This Row],[hargaSatuan]]</f>
        <v>0</v>
      </c>
      <c r="S554" s="32">
        <f t="shared" si="16"/>
        <v>0</v>
      </c>
      <c r="T554" s="32">
        <f t="shared" si="17"/>
        <v>0</v>
      </c>
    </row>
    <row r="555" spans="1:20" ht="14.4" x14ac:dyDescent="0.3">
      <c r="A555" s="44">
        <v>48</v>
      </c>
      <c r="B555" s="45" t="s">
        <v>710</v>
      </c>
      <c r="C555" s="46" t="s">
        <v>408</v>
      </c>
      <c r="D555" s="47" t="s">
        <v>712</v>
      </c>
      <c r="E555" s="48">
        <v>46478</v>
      </c>
      <c r="F555" s="49">
        <v>229729.73</v>
      </c>
      <c r="G555" s="45" t="s">
        <v>40</v>
      </c>
      <c r="H555" s="50">
        <v>0</v>
      </c>
      <c r="I555" s="49">
        <f>Vaksin[[#This Row],[qtySaldoAwalSem1]]*Vaksin[[#This Row],[hargaSatuan]]</f>
        <v>0</v>
      </c>
      <c r="J555" s="50">
        <v>700</v>
      </c>
      <c r="K555" s="51">
        <f>Vaksin[[#This Row],[qtyTerima2025]]*Vaksin[[#This Row],[hargaSatuan]]</f>
        <v>160810811</v>
      </c>
      <c r="L555" s="50">
        <v>700</v>
      </c>
      <c r="M555" s="51">
        <f>Vaksin[[#This Row],[qtyDist2025]]*Vaksin[[#This Row],[hargaSatuan]]</f>
        <v>160810811</v>
      </c>
      <c r="N555" s="50">
        <v>0</v>
      </c>
      <c r="O555" s="51">
        <f>Vaksin[[#This Row],[qtyEd2025]]*Vaksin[[#This Row],[hargaSatuan]]</f>
        <v>0</v>
      </c>
      <c r="P555" s="50">
        <v>0</v>
      </c>
      <c r="Q555" s="52">
        <f>Vaksin[[#This Row],[qtySaldoAkhir2025]]*Vaksin[[#This Row],[hargaSatuan]]</f>
        <v>0</v>
      </c>
      <c r="S555" s="32">
        <f t="shared" si="16"/>
        <v>0</v>
      </c>
      <c r="T555" s="32">
        <f t="shared" si="17"/>
        <v>0</v>
      </c>
    </row>
    <row r="556" spans="1:20" ht="14.4" x14ac:dyDescent="0.3">
      <c r="A556" s="44">
        <v>49</v>
      </c>
      <c r="B556" s="45" t="s">
        <v>710</v>
      </c>
      <c r="C556" s="46" t="s">
        <v>408</v>
      </c>
      <c r="D556" s="47" t="s">
        <v>713</v>
      </c>
      <c r="E556" s="48">
        <v>46054</v>
      </c>
      <c r="F556" s="49">
        <v>220541.44</v>
      </c>
      <c r="G556" s="45" t="s">
        <v>40</v>
      </c>
      <c r="H556" s="50">
        <v>0</v>
      </c>
      <c r="I556" s="49">
        <f>Vaksin[[#This Row],[qtySaldoAwalSem1]]*Vaksin[[#This Row],[hargaSatuan]]</f>
        <v>0</v>
      </c>
      <c r="J556" s="50">
        <v>300</v>
      </c>
      <c r="K556" s="51">
        <f>Vaksin[[#This Row],[qtyTerima2025]]*Vaksin[[#This Row],[hargaSatuan]]</f>
        <v>66162432</v>
      </c>
      <c r="L556" s="50">
        <v>300</v>
      </c>
      <c r="M556" s="51">
        <f>Vaksin[[#This Row],[qtyDist2025]]*Vaksin[[#This Row],[hargaSatuan]]</f>
        <v>66162432</v>
      </c>
      <c r="N556" s="50">
        <v>0</v>
      </c>
      <c r="O556" s="51">
        <f>Vaksin[[#This Row],[qtyEd2025]]*Vaksin[[#This Row],[hargaSatuan]]</f>
        <v>0</v>
      </c>
      <c r="P556" s="50">
        <v>0</v>
      </c>
      <c r="Q556" s="52">
        <f>Vaksin[[#This Row],[qtySaldoAkhir2025]]*Vaksin[[#This Row],[hargaSatuan]]</f>
        <v>0</v>
      </c>
      <c r="S556" s="32">
        <f t="shared" si="16"/>
        <v>0</v>
      </c>
      <c r="T556" s="32">
        <f t="shared" si="17"/>
        <v>0</v>
      </c>
    </row>
    <row r="557" spans="1:20" ht="14.4" x14ac:dyDescent="0.3">
      <c r="A557" s="44">
        <v>50</v>
      </c>
      <c r="B557" s="45" t="s">
        <v>710</v>
      </c>
      <c r="C557" s="46" t="s">
        <v>408</v>
      </c>
      <c r="D557" s="47" t="s">
        <v>714</v>
      </c>
      <c r="E557" s="48">
        <v>46054</v>
      </c>
      <c r="F557" s="49">
        <v>220541.44</v>
      </c>
      <c r="G557" s="45" t="s">
        <v>40</v>
      </c>
      <c r="H557" s="50">
        <v>0</v>
      </c>
      <c r="I557" s="49">
        <f>Vaksin[[#This Row],[qtySaldoAwalSem1]]*Vaksin[[#This Row],[hargaSatuan]]</f>
        <v>0</v>
      </c>
      <c r="J557" s="50">
        <v>60</v>
      </c>
      <c r="K557" s="51">
        <f>Vaksin[[#This Row],[qtyTerima2025]]*Vaksin[[#This Row],[hargaSatuan]]</f>
        <v>13232486.4</v>
      </c>
      <c r="L557" s="50">
        <v>60</v>
      </c>
      <c r="M557" s="51">
        <f>Vaksin[[#This Row],[qtyDist2025]]*Vaksin[[#This Row],[hargaSatuan]]</f>
        <v>13232486.4</v>
      </c>
      <c r="N557" s="50">
        <v>0</v>
      </c>
      <c r="O557" s="51">
        <f>Vaksin[[#This Row],[qtyEd2025]]*Vaksin[[#This Row],[hargaSatuan]]</f>
        <v>0</v>
      </c>
      <c r="P557" s="50">
        <v>0</v>
      </c>
      <c r="Q557" s="52">
        <f>Vaksin[[#This Row],[qtySaldoAkhir2025]]*Vaksin[[#This Row],[hargaSatuan]]</f>
        <v>0</v>
      </c>
      <c r="S557" s="32">
        <f t="shared" si="16"/>
        <v>0</v>
      </c>
      <c r="T557" s="32">
        <f t="shared" si="17"/>
        <v>0</v>
      </c>
    </row>
    <row r="558" spans="1:20" ht="14.4" x14ac:dyDescent="0.3">
      <c r="A558" s="44">
        <v>51</v>
      </c>
      <c r="B558" s="45" t="s">
        <v>710</v>
      </c>
      <c r="C558" s="46" t="s">
        <v>408</v>
      </c>
      <c r="D558" s="47" t="s">
        <v>715</v>
      </c>
      <c r="E558" s="48">
        <v>46568</v>
      </c>
      <c r="F558" s="49">
        <v>229729.74</v>
      </c>
      <c r="G558" s="45" t="s">
        <v>40</v>
      </c>
      <c r="H558" s="50">
        <v>0</v>
      </c>
      <c r="I558" s="49">
        <f>Vaksin[[#This Row],[qtySaldoAwalSem1]]*Vaksin[[#This Row],[hargaSatuan]]</f>
        <v>0</v>
      </c>
      <c r="J558" s="50">
        <v>430</v>
      </c>
      <c r="K558" s="51">
        <f>Vaksin[[#This Row],[qtyTerima2025]]*Vaksin[[#This Row],[hargaSatuan]]</f>
        <v>98783788.200000003</v>
      </c>
      <c r="L558" s="50">
        <v>430</v>
      </c>
      <c r="M558" s="51">
        <f>Vaksin[[#This Row],[qtyDist2025]]*Vaksin[[#This Row],[hargaSatuan]]</f>
        <v>98783788.200000003</v>
      </c>
      <c r="N558" s="50">
        <v>0</v>
      </c>
      <c r="O558" s="51">
        <f>Vaksin[[#This Row],[qtyEd2025]]*Vaksin[[#This Row],[hargaSatuan]]</f>
        <v>0</v>
      </c>
      <c r="P558" s="50">
        <v>0</v>
      </c>
      <c r="Q558" s="52">
        <f>Vaksin[[#This Row],[qtySaldoAkhir2025]]*Vaksin[[#This Row],[hargaSatuan]]</f>
        <v>0</v>
      </c>
      <c r="S558" s="32">
        <f t="shared" si="16"/>
        <v>0</v>
      </c>
      <c r="T558" s="32">
        <f t="shared" si="17"/>
        <v>0</v>
      </c>
    </row>
    <row r="559" spans="1:20" ht="14.4" x14ac:dyDescent="0.3">
      <c r="A559" s="44">
        <v>52</v>
      </c>
      <c r="B559" s="45" t="s">
        <v>710</v>
      </c>
      <c r="C559" s="46" t="s">
        <v>408</v>
      </c>
      <c r="D559" s="47" t="s">
        <v>716</v>
      </c>
      <c r="E559" s="48">
        <v>46691</v>
      </c>
      <c r="F559" s="49">
        <v>229729.73</v>
      </c>
      <c r="G559" s="45" t="s">
        <v>40</v>
      </c>
      <c r="H559" s="50">
        <v>0</v>
      </c>
      <c r="I559" s="49">
        <f>Vaksin[[#This Row],[qtySaldoAwalSem1]]*Vaksin[[#This Row],[hargaSatuan]]</f>
        <v>0</v>
      </c>
      <c r="J559" s="50">
        <v>220</v>
      </c>
      <c r="K559" s="51">
        <f>Vaksin[[#This Row],[qtyTerima2025]]*Vaksin[[#This Row],[hargaSatuan]]</f>
        <v>50540540.600000001</v>
      </c>
      <c r="L559" s="50">
        <v>220</v>
      </c>
      <c r="M559" s="51">
        <f>Vaksin[[#This Row],[qtyDist2025]]*Vaksin[[#This Row],[hargaSatuan]]</f>
        <v>50540540.600000001</v>
      </c>
      <c r="N559" s="50">
        <v>0</v>
      </c>
      <c r="O559" s="51">
        <f>Vaksin[[#This Row],[qtyEd2025]]*Vaksin[[#This Row],[hargaSatuan]]</f>
        <v>0</v>
      </c>
      <c r="P559" s="50">
        <v>0</v>
      </c>
      <c r="Q559" s="52">
        <f>Vaksin[[#This Row],[qtySaldoAkhir2025]]*Vaksin[[#This Row],[hargaSatuan]]</f>
        <v>0</v>
      </c>
      <c r="S559" s="32">
        <f t="shared" si="16"/>
        <v>0</v>
      </c>
      <c r="T559" s="32">
        <f t="shared" si="17"/>
        <v>0</v>
      </c>
    </row>
    <row r="560" spans="1:20" ht="14.4" x14ac:dyDescent="0.3">
      <c r="A560" s="44">
        <v>53</v>
      </c>
      <c r="B560" s="45" t="s">
        <v>710</v>
      </c>
      <c r="C560" s="46" t="s">
        <v>717</v>
      </c>
      <c r="D560" s="47" t="s">
        <v>718</v>
      </c>
      <c r="E560" s="48">
        <v>46748</v>
      </c>
      <c r="F560" s="49">
        <v>229729.73</v>
      </c>
      <c r="G560" s="45" t="s">
        <v>40</v>
      </c>
      <c r="H560" s="50">
        <v>0</v>
      </c>
      <c r="I560" s="49">
        <f>Vaksin[[#This Row],[qtySaldoAwalSem1]]*Vaksin[[#This Row],[hargaSatuan]]</f>
        <v>0</v>
      </c>
      <c r="J560" s="50">
        <v>100</v>
      </c>
      <c r="K560" s="51">
        <f>Vaksin[[#This Row],[qtyTerima2025]]*Vaksin[[#This Row],[hargaSatuan]]</f>
        <v>22972973</v>
      </c>
      <c r="L560" s="50">
        <v>100</v>
      </c>
      <c r="M560" s="51">
        <f>Vaksin[[#This Row],[qtyDist2025]]*Vaksin[[#This Row],[hargaSatuan]]</f>
        <v>22972973</v>
      </c>
      <c r="N560" s="50">
        <v>0</v>
      </c>
      <c r="O560" s="51">
        <f>Vaksin[[#This Row],[qtyEd2025]]*Vaksin[[#This Row],[hargaSatuan]]</f>
        <v>0</v>
      </c>
      <c r="P560" s="50">
        <v>0</v>
      </c>
      <c r="Q560" s="52">
        <f>Vaksin[[#This Row],[qtySaldoAkhir2025]]*Vaksin[[#This Row],[hargaSatuan]]</f>
        <v>0</v>
      </c>
      <c r="S560" s="32">
        <f t="shared" si="16"/>
        <v>0</v>
      </c>
      <c r="T560" s="32">
        <f t="shared" si="17"/>
        <v>0</v>
      </c>
    </row>
    <row r="561" spans="1:20" ht="14.4" x14ac:dyDescent="0.3">
      <c r="A561" s="44">
        <v>54</v>
      </c>
      <c r="B561" s="45" t="s">
        <v>719</v>
      </c>
      <c r="C561" s="46" t="s">
        <v>408</v>
      </c>
      <c r="D561" s="47" t="s">
        <v>720</v>
      </c>
      <c r="E561" s="48">
        <v>46780</v>
      </c>
      <c r="F561" s="49">
        <v>229729.73</v>
      </c>
      <c r="G561" s="45" t="s">
        <v>40</v>
      </c>
      <c r="H561" s="50">
        <v>0</v>
      </c>
      <c r="I561" s="49">
        <f>Vaksin[[#This Row],[qtySaldoAwalSem1]]*Vaksin[[#This Row],[hargaSatuan]]</f>
        <v>0</v>
      </c>
      <c r="J561" s="50">
        <v>0</v>
      </c>
      <c r="K561" s="51">
        <f>Vaksin[[#This Row],[qtyTerima2025]]*Vaksin[[#This Row],[hargaSatuan]]</f>
        <v>0</v>
      </c>
      <c r="L561" s="50">
        <v>0</v>
      </c>
      <c r="M561" s="51">
        <f>Vaksin[[#This Row],[qtyDist2025]]*Vaksin[[#This Row],[hargaSatuan]]</f>
        <v>0</v>
      </c>
      <c r="N561" s="50">
        <v>0</v>
      </c>
      <c r="O561" s="51">
        <f>Vaksin[[#This Row],[qtyEd2025]]*Vaksin[[#This Row],[hargaSatuan]]</f>
        <v>0</v>
      </c>
      <c r="P561" s="50">
        <v>0</v>
      </c>
      <c r="Q561" s="52">
        <f>Vaksin[[#This Row],[qtySaldoAkhir2025]]*Vaksin[[#This Row],[hargaSatuan]]</f>
        <v>0</v>
      </c>
      <c r="S561" s="32">
        <f t="shared" si="16"/>
        <v>0</v>
      </c>
      <c r="T561" s="32">
        <f t="shared" si="17"/>
        <v>0</v>
      </c>
    </row>
    <row r="562" spans="1:20" ht="14.4" x14ac:dyDescent="0.3">
      <c r="A562" s="44">
        <v>55</v>
      </c>
      <c r="B562" s="45" t="s">
        <v>719</v>
      </c>
      <c r="C562" s="46" t="s">
        <v>408</v>
      </c>
      <c r="D562" s="47" t="s">
        <v>720</v>
      </c>
      <c r="E562" s="48">
        <v>46780</v>
      </c>
      <c r="F562" s="49">
        <v>229729.73</v>
      </c>
      <c r="G562" s="45" t="s">
        <v>40</v>
      </c>
      <c r="H562" s="50">
        <v>0</v>
      </c>
      <c r="I562" s="49">
        <f>Vaksin[[#This Row],[qtySaldoAwalSem1]]*Vaksin[[#This Row],[hargaSatuan]]</f>
        <v>0</v>
      </c>
      <c r="J562" s="50">
        <v>300</v>
      </c>
      <c r="K562" s="51">
        <f>Vaksin[[#This Row],[qtyTerima2025]]*Vaksin[[#This Row],[hargaSatuan]]</f>
        <v>68918919</v>
      </c>
      <c r="L562" s="50">
        <v>300</v>
      </c>
      <c r="M562" s="51">
        <f>Vaksin[[#This Row],[qtyDist2025]]*Vaksin[[#This Row],[hargaSatuan]]</f>
        <v>68918919</v>
      </c>
      <c r="N562" s="50">
        <v>0</v>
      </c>
      <c r="O562" s="51">
        <f>Vaksin[[#This Row],[qtyEd2025]]*Vaksin[[#This Row],[hargaSatuan]]</f>
        <v>0</v>
      </c>
      <c r="P562" s="50">
        <v>0</v>
      </c>
      <c r="Q562" s="52">
        <f>Vaksin[[#This Row],[qtySaldoAkhir2025]]*Vaksin[[#This Row],[hargaSatuan]]</f>
        <v>0</v>
      </c>
      <c r="S562" s="32">
        <f t="shared" si="16"/>
        <v>0</v>
      </c>
      <c r="T562" s="32">
        <f t="shared" si="17"/>
        <v>0</v>
      </c>
    </row>
    <row r="563" spans="1:20" ht="14.4" x14ac:dyDescent="0.3">
      <c r="A563" s="44"/>
      <c r="B563" s="45" t="s">
        <v>719</v>
      </c>
      <c r="C563" s="46" t="s">
        <v>408</v>
      </c>
      <c r="D563" s="47" t="s">
        <v>721</v>
      </c>
      <c r="E563" s="48">
        <v>46054</v>
      </c>
      <c r="F563" s="49">
        <v>229729.73</v>
      </c>
      <c r="G563" s="45" t="s">
        <v>40</v>
      </c>
      <c r="H563" s="50">
        <v>0</v>
      </c>
      <c r="I563" s="49">
        <f>Vaksin[[#This Row],[qtySaldoAwalSem1]]*Vaksin[[#This Row],[hargaSatuan]]</f>
        <v>0</v>
      </c>
      <c r="J563" s="50">
        <v>180</v>
      </c>
      <c r="K563" s="51">
        <f>Vaksin[[#This Row],[qtyTerima2025]]*Vaksin[[#This Row],[hargaSatuan]]</f>
        <v>41351351.399999999</v>
      </c>
      <c r="L563" s="50">
        <v>180</v>
      </c>
      <c r="M563" s="51">
        <f>Vaksin[[#This Row],[qtyDist2025]]*Vaksin[[#This Row],[hargaSatuan]]</f>
        <v>41351351.399999999</v>
      </c>
      <c r="N563" s="50">
        <v>0</v>
      </c>
      <c r="O563" s="51">
        <f>Vaksin[[#This Row],[qtyEd2025]]*Vaksin[[#This Row],[hargaSatuan]]</f>
        <v>0</v>
      </c>
      <c r="P563" s="50">
        <v>0</v>
      </c>
      <c r="Q563" s="52">
        <f>Vaksin[[#This Row],[qtySaldoAkhir2025]]*Vaksin[[#This Row],[hargaSatuan]]</f>
        <v>0</v>
      </c>
      <c r="S563" s="32">
        <f t="shared" si="16"/>
        <v>0</v>
      </c>
      <c r="T563" s="32">
        <f t="shared" si="17"/>
        <v>0</v>
      </c>
    </row>
    <row r="564" spans="1:20" ht="14.4" x14ac:dyDescent="0.3">
      <c r="A564" s="44">
        <v>56</v>
      </c>
      <c r="B564" s="45" t="s">
        <v>722</v>
      </c>
      <c r="C564" s="46" t="s">
        <v>408</v>
      </c>
      <c r="D564" s="47" t="s">
        <v>723</v>
      </c>
      <c r="E564" s="48">
        <v>46357</v>
      </c>
      <c r="F564" s="49">
        <v>189189.19</v>
      </c>
      <c r="G564" s="45" t="s">
        <v>40</v>
      </c>
      <c r="H564" s="50">
        <v>0</v>
      </c>
      <c r="I564" s="49">
        <f>Vaksin[[#This Row],[qtySaldoAwalSem1]]*Vaksin[[#This Row],[hargaSatuan]]</f>
        <v>0</v>
      </c>
      <c r="J564" s="50">
        <v>350</v>
      </c>
      <c r="K564" s="51">
        <f>Vaksin[[#This Row],[qtyTerima2025]]*Vaksin[[#This Row],[hargaSatuan]]</f>
        <v>66216216.5</v>
      </c>
      <c r="L564" s="50">
        <v>350</v>
      </c>
      <c r="M564" s="51">
        <f>Vaksin[[#This Row],[qtyDist2025]]*Vaksin[[#This Row],[hargaSatuan]]</f>
        <v>66216216.5</v>
      </c>
      <c r="N564" s="50">
        <v>0</v>
      </c>
      <c r="O564" s="51">
        <f>Vaksin[[#This Row],[qtyEd2025]]*Vaksin[[#This Row],[hargaSatuan]]</f>
        <v>0</v>
      </c>
      <c r="P564" s="50">
        <v>0</v>
      </c>
      <c r="Q564" s="52">
        <f>Vaksin[[#This Row],[qtySaldoAkhir2025]]*Vaksin[[#This Row],[hargaSatuan]]</f>
        <v>0</v>
      </c>
      <c r="S564" s="32">
        <f t="shared" si="16"/>
        <v>0</v>
      </c>
      <c r="T564" s="32">
        <f t="shared" si="17"/>
        <v>0</v>
      </c>
    </row>
    <row r="565" spans="1:20" ht="14.4" x14ac:dyDescent="0.3">
      <c r="A565" s="44">
        <v>57</v>
      </c>
      <c r="B565" s="45" t="s">
        <v>722</v>
      </c>
      <c r="C565" s="46" t="s">
        <v>408</v>
      </c>
      <c r="D565" s="47" t="s">
        <v>724</v>
      </c>
      <c r="E565" s="48">
        <v>46568</v>
      </c>
      <c r="F565" s="49">
        <v>197981.81</v>
      </c>
      <c r="G565" s="45" t="s">
        <v>40</v>
      </c>
      <c r="H565" s="50">
        <v>0</v>
      </c>
      <c r="I565" s="49">
        <f>Vaksin[[#This Row],[qtySaldoAwalSem1]]*Vaksin[[#This Row],[hargaSatuan]]</f>
        <v>0</v>
      </c>
      <c r="J565" s="50">
        <v>150</v>
      </c>
      <c r="K565" s="51">
        <f>Vaksin[[#This Row],[qtyTerima2025]]*Vaksin[[#This Row],[hargaSatuan]]</f>
        <v>29697271.5</v>
      </c>
      <c r="L565" s="50">
        <v>150</v>
      </c>
      <c r="M565" s="51">
        <f>Vaksin[[#This Row],[qtyDist2025]]*Vaksin[[#This Row],[hargaSatuan]]</f>
        <v>29697271.5</v>
      </c>
      <c r="N565" s="50">
        <v>0</v>
      </c>
      <c r="O565" s="51">
        <f>Vaksin[[#This Row],[qtyEd2025]]*Vaksin[[#This Row],[hargaSatuan]]</f>
        <v>0</v>
      </c>
      <c r="P565" s="50">
        <v>0</v>
      </c>
      <c r="Q565" s="52">
        <f>Vaksin[[#This Row],[qtySaldoAkhir2025]]*Vaksin[[#This Row],[hargaSatuan]]</f>
        <v>0</v>
      </c>
      <c r="S565" s="32">
        <f t="shared" si="16"/>
        <v>0</v>
      </c>
      <c r="T565" s="32">
        <f t="shared" si="17"/>
        <v>0</v>
      </c>
    </row>
    <row r="566" spans="1:20" ht="14.4" x14ac:dyDescent="0.3">
      <c r="A566" s="44">
        <v>58</v>
      </c>
      <c r="B566" s="45" t="s">
        <v>722</v>
      </c>
      <c r="C566" s="46" t="s">
        <v>408</v>
      </c>
      <c r="D566" s="47" t="s">
        <v>725</v>
      </c>
      <c r="E566" s="48">
        <v>46568</v>
      </c>
      <c r="F566" s="49">
        <v>197981.81</v>
      </c>
      <c r="G566" s="45" t="s">
        <v>40</v>
      </c>
      <c r="H566" s="50">
        <v>0</v>
      </c>
      <c r="I566" s="49">
        <f>Vaksin[[#This Row],[qtySaldoAwalSem1]]*Vaksin[[#This Row],[hargaSatuan]]</f>
        <v>0</v>
      </c>
      <c r="J566" s="50">
        <v>400</v>
      </c>
      <c r="K566" s="51">
        <f>Vaksin[[#This Row],[qtyTerima2025]]*Vaksin[[#This Row],[hargaSatuan]]</f>
        <v>79192724</v>
      </c>
      <c r="L566" s="50">
        <v>400</v>
      </c>
      <c r="M566" s="51">
        <f>Vaksin[[#This Row],[qtyDist2025]]*Vaksin[[#This Row],[hargaSatuan]]</f>
        <v>79192724</v>
      </c>
      <c r="N566" s="50">
        <v>0</v>
      </c>
      <c r="O566" s="51">
        <f>Vaksin[[#This Row],[qtyEd2025]]*Vaksin[[#This Row],[hargaSatuan]]</f>
        <v>0</v>
      </c>
      <c r="P566" s="50">
        <v>0</v>
      </c>
      <c r="Q566" s="52">
        <f>Vaksin[[#This Row],[qtySaldoAkhir2025]]*Vaksin[[#This Row],[hargaSatuan]]</f>
        <v>0</v>
      </c>
      <c r="S566" s="32">
        <f t="shared" si="16"/>
        <v>0</v>
      </c>
      <c r="T566" s="32">
        <f t="shared" si="17"/>
        <v>0</v>
      </c>
    </row>
    <row r="567" spans="1:20" ht="14.4" x14ac:dyDescent="0.3">
      <c r="A567" s="44">
        <v>59</v>
      </c>
      <c r="B567" s="45" t="s">
        <v>726</v>
      </c>
      <c r="C567" s="46" t="s">
        <v>408</v>
      </c>
      <c r="D567" s="47" t="s">
        <v>727</v>
      </c>
      <c r="E567" s="48">
        <v>46419</v>
      </c>
      <c r="F567" s="49">
        <v>190657</v>
      </c>
      <c r="G567" s="45" t="s">
        <v>40</v>
      </c>
      <c r="H567" s="50">
        <v>10</v>
      </c>
      <c r="I567" s="49">
        <f>Vaksin[[#This Row],[qtySaldoAwalSem1]]*Vaksin[[#This Row],[hargaSatuan]]</f>
        <v>1906570</v>
      </c>
      <c r="J567" s="50">
        <v>800</v>
      </c>
      <c r="K567" s="51">
        <f>Vaksin[[#This Row],[qtyTerima2025]]*Vaksin[[#This Row],[hargaSatuan]]</f>
        <v>152525600</v>
      </c>
      <c r="L567" s="50">
        <v>810</v>
      </c>
      <c r="M567" s="51">
        <f>Vaksin[[#This Row],[qtyDist2025]]*Vaksin[[#This Row],[hargaSatuan]]</f>
        <v>154432170</v>
      </c>
      <c r="N567" s="50">
        <v>0</v>
      </c>
      <c r="O567" s="51">
        <f>Vaksin[[#This Row],[qtyEd2025]]*Vaksin[[#This Row],[hargaSatuan]]</f>
        <v>0</v>
      </c>
      <c r="P567" s="50">
        <v>0</v>
      </c>
      <c r="Q567" s="52">
        <f>Vaksin[[#This Row],[qtySaldoAkhir2025]]*Vaksin[[#This Row],[hargaSatuan]]</f>
        <v>0</v>
      </c>
      <c r="S567" s="32">
        <f t="shared" si="16"/>
        <v>0</v>
      </c>
      <c r="T567" s="32">
        <f t="shared" si="17"/>
        <v>0</v>
      </c>
    </row>
    <row r="568" spans="1:20" ht="14.4" x14ac:dyDescent="0.3">
      <c r="A568" s="44">
        <v>60</v>
      </c>
      <c r="B568" s="45" t="s">
        <v>726</v>
      </c>
      <c r="C568" s="46" t="s">
        <v>408</v>
      </c>
      <c r="D568" s="47" t="s">
        <v>728</v>
      </c>
      <c r="E568" s="48">
        <v>46419</v>
      </c>
      <c r="F568" s="49">
        <v>190657</v>
      </c>
      <c r="G568" s="45" t="s">
        <v>40</v>
      </c>
      <c r="H568" s="50">
        <v>0</v>
      </c>
      <c r="I568" s="49">
        <f>Vaksin[[#This Row],[qtySaldoAwalSem1]]*Vaksin[[#This Row],[hargaSatuan]]</f>
        <v>0</v>
      </c>
      <c r="J568" s="50">
        <v>700</v>
      </c>
      <c r="K568" s="51">
        <f>Vaksin[[#This Row],[qtyTerima2025]]*Vaksin[[#This Row],[hargaSatuan]]</f>
        <v>133459900</v>
      </c>
      <c r="L568" s="50">
        <v>700</v>
      </c>
      <c r="M568" s="51">
        <f>Vaksin[[#This Row],[qtyDist2025]]*Vaksin[[#This Row],[hargaSatuan]]</f>
        <v>133459900</v>
      </c>
      <c r="N568" s="50">
        <v>0</v>
      </c>
      <c r="O568" s="51">
        <f>Vaksin[[#This Row],[qtyEd2025]]*Vaksin[[#This Row],[hargaSatuan]]</f>
        <v>0</v>
      </c>
      <c r="P568" s="50">
        <v>0</v>
      </c>
      <c r="Q568" s="52">
        <f>Vaksin[[#This Row],[qtySaldoAkhir2025]]*Vaksin[[#This Row],[hargaSatuan]]</f>
        <v>0</v>
      </c>
      <c r="S568" s="32">
        <f t="shared" si="16"/>
        <v>0</v>
      </c>
      <c r="T568" s="32">
        <f t="shared" si="17"/>
        <v>0</v>
      </c>
    </row>
    <row r="569" spans="1:20" ht="14.4" x14ac:dyDescent="0.3">
      <c r="A569" s="44">
        <v>61</v>
      </c>
      <c r="B569" s="45" t="s">
        <v>726</v>
      </c>
      <c r="C569" s="46" t="s">
        <v>408</v>
      </c>
      <c r="D569" s="47" t="s">
        <v>729</v>
      </c>
      <c r="E569" s="48">
        <v>46748</v>
      </c>
      <c r="F569" s="49">
        <v>532800</v>
      </c>
      <c r="G569" s="45" t="s">
        <v>40</v>
      </c>
      <c r="H569" s="50">
        <v>0</v>
      </c>
      <c r="I569" s="49">
        <f>Vaksin[[#This Row],[qtySaldoAwalSem1]]*Vaksin[[#This Row],[hargaSatuan]]</f>
        <v>0</v>
      </c>
      <c r="J569" s="50">
        <v>500</v>
      </c>
      <c r="K569" s="51">
        <f>Vaksin[[#This Row],[qtyTerima2025]]*Vaksin[[#This Row],[hargaSatuan]]</f>
        <v>266400000</v>
      </c>
      <c r="L569" s="50">
        <v>385</v>
      </c>
      <c r="M569" s="51">
        <f>Vaksin[[#This Row],[qtyDist2025]]*Vaksin[[#This Row],[hargaSatuan]]</f>
        <v>205128000</v>
      </c>
      <c r="N569" s="50">
        <v>0</v>
      </c>
      <c r="O569" s="51">
        <f>Vaksin[[#This Row],[qtyEd2025]]*Vaksin[[#This Row],[hargaSatuan]]</f>
        <v>0</v>
      </c>
      <c r="P569" s="50">
        <v>115</v>
      </c>
      <c r="Q569" s="52">
        <f>Vaksin[[#This Row],[qtySaldoAkhir2025]]*Vaksin[[#This Row],[hargaSatuan]]</f>
        <v>61272000</v>
      </c>
      <c r="S569" s="32">
        <f t="shared" si="16"/>
        <v>61272000</v>
      </c>
      <c r="T569" s="32">
        <f t="shared" si="17"/>
        <v>0</v>
      </c>
    </row>
    <row r="570" spans="1:20" ht="14.4" x14ac:dyDescent="0.3">
      <c r="A570" s="44">
        <v>62</v>
      </c>
      <c r="B570" s="45" t="s">
        <v>730</v>
      </c>
      <c r="C570" s="46" t="s">
        <v>408</v>
      </c>
      <c r="D570" s="47" t="s">
        <v>731</v>
      </c>
      <c r="E570" s="48">
        <v>46571</v>
      </c>
      <c r="F570" s="49">
        <v>532800</v>
      </c>
      <c r="G570" s="45" t="s">
        <v>40</v>
      </c>
      <c r="H570" s="50">
        <v>0</v>
      </c>
      <c r="I570" s="49">
        <f>Vaksin[[#This Row],[qtySaldoAwalSem1]]*Vaksin[[#This Row],[hargaSatuan]]</f>
        <v>0</v>
      </c>
      <c r="J570" s="50">
        <v>250</v>
      </c>
      <c r="K570" s="51">
        <f>Vaksin[[#This Row],[qtyTerima2025]]*Vaksin[[#This Row],[hargaSatuan]]</f>
        <v>133200000</v>
      </c>
      <c r="L570" s="50">
        <v>250</v>
      </c>
      <c r="M570" s="51">
        <f>Vaksin[[#This Row],[qtyDist2025]]*Vaksin[[#This Row],[hargaSatuan]]</f>
        <v>133200000</v>
      </c>
      <c r="N570" s="50">
        <v>0</v>
      </c>
      <c r="O570" s="51">
        <f>Vaksin[[#This Row],[qtyEd2025]]*Vaksin[[#This Row],[hargaSatuan]]</f>
        <v>0</v>
      </c>
      <c r="P570" s="50">
        <v>0</v>
      </c>
      <c r="Q570" s="52">
        <f>Vaksin[[#This Row],[qtySaldoAkhir2025]]*Vaksin[[#This Row],[hargaSatuan]]</f>
        <v>0</v>
      </c>
      <c r="S570" s="32">
        <f t="shared" si="16"/>
        <v>0</v>
      </c>
      <c r="T570" s="32">
        <f t="shared" si="17"/>
        <v>0</v>
      </c>
    </row>
    <row r="571" spans="1:20" ht="14.4" x14ac:dyDescent="0.3">
      <c r="A571" s="44">
        <v>63</v>
      </c>
      <c r="B571" s="45" t="s">
        <v>730</v>
      </c>
      <c r="C571" s="46" t="s">
        <v>408</v>
      </c>
      <c r="D571" s="47" t="s">
        <v>732</v>
      </c>
      <c r="E571" s="48">
        <v>46657</v>
      </c>
      <c r="F571" s="49">
        <v>532800</v>
      </c>
      <c r="G571" s="45" t="s">
        <v>40</v>
      </c>
      <c r="H571" s="50">
        <v>0</v>
      </c>
      <c r="I571" s="49">
        <f>Vaksin[[#This Row],[qtySaldoAwalSem1]]*Vaksin[[#This Row],[hargaSatuan]]</f>
        <v>0</v>
      </c>
      <c r="J571" s="50">
        <v>250</v>
      </c>
      <c r="K571" s="51">
        <f>Vaksin[[#This Row],[qtyTerima2025]]*Vaksin[[#This Row],[hargaSatuan]]</f>
        <v>133200000</v>
      </c>
      <c r="L571" s="50">
        <v>250</v>
      </c>
      <c r="M571" s="51">
        <f>Vaksin[[#This Row],[qtyDist2025]]*Vaksin[[#This Row],[hargaSatuan]]</f>
        <v>133200000</v>
      </c>
      <c r="N571" s="50">
        <v>0</v>
      </c>
      <c r="O571" s="51">
        <f>Vaksin[[#This Row],[qtyEd2025]]*Vaksin[[#This Row],[hargaSatuan]]</f>
        <v>0</v>
      </c>
      <c r="P571" s="50">
        <v>0</v>
      </c>
      <c r="Q571" s="52">
        <f>Vaksin[[#This Row],[qtySaldoAkhir2025]]*Vaksin[[#This Row],[hargaSatuan]]</f>
        <v>0</v>
      </c>
      <c r="S571" s="32">
        <f t="shared" si="16"/>
        <v>0</v>
      </c>
      <c r="T571" s="32">
        <f t="shared" si="17"/>
        <v>0</v>
      </c>
    </row>
    <row r="572" spans="1:20" ht="14.4" x14ac:dyDescent="0.3">
      <c r="A572" s="44">
        <v>64</v>
      </c>
      <c r="B572" s="45" t="s">
        <v>733</v>
      </c>
      <c r="C572" s="46" t="s">
        <v>408</v>
      </c>
      <c r="D572" s="47">
        <v>2100324</v>
      </c>
      <c r="E572" s="48">
        <v>46569</v>
      </c>
      <c r="F572" s="49">
        <v>158166</v>
      </c>
      <c r="G572" s="45" t="s">
        <v>40</v>
      </c>
      <c r="H572" s="50">
        <v>190</v>
      </c>
      <c r="I572" s="49">
        <f>Vaksin[[#This Row],[qtySaldoAwalSem1]]*Vaksin[[#This Row],[hargaSatuan]]</f>
        <v>30051540</v>
      </c>
      <c r="J572" s="50">
        <v>410</v>
      </c>
      <c r="K572" s="51">
        <f>Vaksin[[#This Row],[qtyTerima2025]]*Vaksin[[#This Row],[hargaSatuan]]</f>
        <v>64848060</v>
      </c>
      <c r="L572" s="50">
        <v>600</v>
      </c>
      <c r="M572" s="51">
        <f>Vaksin[[#This Row],[qtyDist2025]]*Vaksin[[#This Row],[hargaSatuan]]</f>
        <v>94899600</v>
      </c>
      <c r="N572" s="50">
        <v>0</v>
      </c>
      <c r="O572" s="51">
        <f>Vaksin[[#This Row],[qtyEd2025]]*Vaksin[[#This Row],[hargaSatuan]]</f>
        <v>0</v>
      </c>
      <c r="P572" s="50">
        <v>0</v>
      </c>
      <c r="Q572" s="52">
        <f>Vaksin[[#This Row],[qtySaldoAkhir2025]]*Vaksin[[#This Row],[hargaSatuan]]</f>
        <v>0</v>
      </c>
      <c r="S572" s="32">
        <f t="shared" si="16"/>
        <v>0</v>
      </c>
      <c r="T572" s="32">
        <f t="shared" si="17"/>
        <v>0</v>
      </c>
    </row>
    <row r="573" spans="1:20" ht="14.4" x14ac:dyDescent="0.3">
      <c r="A573" s="44">
        <v>65</v>
      </c>
      <c r="B573" s="45" t="s">
        <v>733</v>
      </c>
      <c r="C573" s="46" t="s">
        <v>408</v>
      </c>
      <c r="D573" s="47">
        <v>2101924</v>
      </c>
      <c r="E573" s="48">
        <v>46692</v>
      </c>
      <c r="F573" s="49">
        <v>158116</v>
      </c>
      <c r="G573" s="45" t="s">
        <v>40</v>
      </c>
      <c r="H573" s="50">
        <v>0</v>
      </c>
      <c r="I573" s="49">
        <f>Vaksin[[#This Row],[qtySaldoAwalSem1]]*Vaksin[[#This Row],[hargaSatuan]]</f>
        <v>0</v>
      </c>
      <c r="J573" s="50">
        <v>28</v>
      </c>
      <c r="K573" s="51">
        <f>Vaksin[[#This Row],[qtyTerima2025]]*Vaksin[[#This Row],[hargaSatuan]]</f>
        <v>4427248</v>
      </c>
      <c r="L573" s="50">
        <v>28</v>
      </c>
      <c r="M573" s="51">
        <f>Vaksin[[#This Row],[qtyDist2025]]*Vaksin[[#This Row],[hargaSatuan]]</f>
        <v>4427248</v>
      </c>
      <c r="N573" s="50">
        <v>0</v>
      </c>
      <c r="O573" s="51">
        <f>Vaksin[[#This Row],[qtyEd2025]]*Vaksin[[#This Row],[hargaSatuan]]</f>
        <v>0</v>
      </c>
      <c r="P573" s="50">
        <v>0</v>
      </c>
      <c r="Q573" s="52">
        <f>Vaksin[[#This Row],[qtySaldoAkhir2025]]*Vaksin[[#This Row],[hargaSatuan]]</f>
        <v>0</v>
      </c>
      <c r="S573" s="32">
        <f t="shared" si="16"/>
        <v>0</v>
      </c>
      <c r="T573" s="32">
        <f t="shared" si="17"/>
        <v>0</v>
      </c>
    </row>
    <row r="574" spans="1:20" ht="14.4" x14ac:dyDescent="0.3">
      <c r="A574" s="44">
        <v>66</v>
      </c>
      <c r="B574" s="45" t="s">
        <v>733</v>
      </c>
      <c r="C574" s="46" t="s">
        <v>408</v>
      </c>
      <c r="D574" s="47">
        <v>2100324</v>
      </c>
      <c r="E574" s="48">
        <v>46569</v>
      </c>
      <c r="F574" s="49">
        <v>158116</v>
      </c>
      <c r="G574" s="45" t="s">
        <v>40</v>
      </c>
      <c r="H574" s="50">
        <v>0</v>
      </c>
      <c r="I574" s="49">
        <f>Vaksin[[#This Row],[qtySaldoAwalSem1]]*Vaksin[[#This Row],[hargaSatuan]]</f>
        <v>0</v>
      </c>
      <c r="J574" s="50">
        <v>200</v>
      </c>
      <c r="K574" s="51">
        <f>Vaksin[[#This Row],[qtyTerima2025]]*Vaksin[[#This Row],[hargaSatuan]]</f>
        <v>31623200</v>
      </c>
      <c r="L574" s="50">
        <v>200</v>
      </c>
      <c r="M574" s="51">
        <f>Vaksin[[#This Row],[qtyDist2025]]*Vaksin[[#This Row],[hargaSatuan]]</f>
        <v>31623200</v>
      </c>
      <c r="N574" s="50">
        <v>0</v>
      </c>
      <c r="O574" s="51">
        <f>Vaksin[[#This Row],[qtyEd2025]]*Vaksin[[#This Row],[hargaSatuan]]</f>
        <v>0</v>
      </c>
      <c r="P574" s="50">
        <v>0</v>
      </c>
      <c r="Q574" s="52">
        <f>Vaksin[[#This Row],[qtySaldoAkhir2025]]*Vaksin[[#This Row],[hargaSatuan]]</f>
        <v>0</v>
      </c>
      <c r="S574" s="32">
        <f t="shared" si="16"/>
        <v>0</v>
      </c>
      <c r="T574" s="32">
        <f t="shared" si="17"/>
        <v>0</v>
      </c>
    </row>
    <row r="575" spans="1:20" ht="14.4" x14ac:dyDescent="0.3">
      <c r="A575" s="44">
        <v>67</v>
      </c>
      <c r="B575" s="45" t="s">
        <v>733</v>
      </c>
      <c r="C575" s="46" t="s">
        <v>408</v>
      </c>
      <c r="D575" s="47">
        <v>21000125</v>
      </c>
      <c r="E575" s="48">
        <v>46830</v>
      </c>
      <c r="F575" s="49">
        <v>172182</v>
      </c>
      <c r="G575" s="45" t="s">
        <v>40</v>
      </c>
      <c r="H575" s="50">
        <v>0</v>
      </c>
      <c r="I575" s="49">
        <f>Vaksin[[#This Row],[qtySaldoAwalSem1]]*Vaksin[[#This Row],[hargaSatuan]]</f>
        <v>0</v>
      </c>
      <c r="J575" s="50">
        <v>820</v>
      </c>
      <c r="K575" s="51">
        <f>Vaksin[[#This Row],[qtyTerima2025]]*Vaksin[[#This Row],[hargaSatuan]]</f>
        <v>141189240</v>
      </c>
      <c r="L575" s="50">
        <v>820</v>
      </c>
      <c r="M575" s="51">
        <f>Vaksin[[#This Row],[qtyDist2025]]*Vaksin[[#This Row],[hargaSatuan]]</f>
        <v>141189240</v>
      </c>
      <c r="N575" s="50">
        <v>0</v>
      </c>
      <c r="O575" s="51">
        <f>Vaksin[[#This Row],[qtyEd2025]]*Vaksin[[#This Row],[hargaSatuan]]</f>
        <v>0</v>
      </c>
      <c r="P575" s="50">
        <v>0</v>
      </c>
      <c r="Q575" s="52">
        <f>Vaksin[[#This Row],[qtySaldoAkhir2025]]*Vaksin[[#This Row],[hargaSatuan]]</f>
        <v>0</v>
      </c>
      <c r="S575" s="32">
        <f t="shared" si="16"/>
        <v>0</v>
      </c>
      <c r="T575" s="32">
        <f t="shared" si="17"/>
        <v>0</v>
      </c>
    </row>
    <row r="576" spans="1:20" ht="14.4" x14ac:dyDescent="0.3">
      <c r="A576" s="44">
        <v>68</v>
      </c>
      <c r="B576" s="45" t="s">
        <v>733</v>
      </c>
      <c r="C576" s="46" t="s">
        <v>408</v>
      </c>
      <c r="D576" s="47">
        <v>21001025</v>
      </c>
      <c r="E576" s="48">
        <v>46962</v>
      </c>
      <c r="F576" s="49">
        <v>172182</v>
      </c>
      <c r="G576" s="45" t="s">
        <v>40</v>
      </c>
      <c r="H576" s="50">
        <v>0</v>
      </c>
      <c r="I576" s="49">
        <f>Vaksin[[#This Row],[qtySaldoAwalSem1]]*Vaksin[[#This Row],[hargaSatuan]]</f>
        <v>0</v>
      </c>
      <c r="J576" s="50">
        <v>450</v>
      </c>
      <c r="K576" s="51">
        <f>Vaksin[[#This Row],[qtyTerima2025]]*Vaksin[[#This Row],[hargaSatuan]]</f>
        <v>77481900</v>
      </c>
      <c r="L576" s="50">
        <v>185</v>
      </c>
      <c r="M576" s="51">
        <f>Vaksin[[#This Row],[qtyDist2025]]*Vaksin[[#This Row],[hargaSatuan]]</f>
        <v>31853670</v>
      </c>
      <c r="N576" s="50">
        <v>0</v>
      </c>
      <c r="O576" s="51">
        <f>Vaksin[[#This Row],[qtyEd2025]]*Vaksin[[#This Row],[hargaSatuan]]</f>
        <v>0</v>
      </c>
      <c r="P576" s="50">
        <v>265</v>
      </c>
      <c r="Q576" s="52">
        <f>Vaksin[[#This Row],[qtySaldoAkhir2025]]*Vaksin[[#This Row],[hargaSatuan]]</f>
        <v>45628230</v>
      </c>
      <c r="S576" s="32">
        <f t="shared" si="16"/>
        <v>45628230</v>
      </c>
      <c r="T576" s="32">
        <f t="shared" si="17"/>
        <v>0</v>
      </c>
    </row>
    <row r="577" spans="1:20" ht="14.4" x14ac:dyDescent="0.3">
      <c r="A577" s="44">
        <v>69</v>
      </c>
      <c r="B577" s="45" t="s">
        <v>734</v>
      </c>
      <c r="C577" s="46" t="s">
        <v>408</v>
      </c>
      <c r="D577" s="47">
        <v>2057423</v>
      </c>
      <c r="E577" s="48">
        <v>46023</v>
      </c>
      <c r="F577" s="49">
        <v>22555.86</v>
      </c>
      <c r="G577" s="45" t="s">
        <v>40</v>
      </c>
      <c r="H577" s="50">
        <v>95</v>
      </c>
      <c r="I577" s="49">
        <f>Vaksin[[#This Row],[qtySaldoAwalSem1]]*Vaksin[[#This Row],[hargaSatuan]]</f>
        <v>2142806.7000000002</v>
      </c>
      <c r="J577" s="50">
        <v>0</v>
      </c>
      <c r="K577" s="51">
        <f>Vaksin[[#This Row],[qtyTerima2025]]*Vaksin[[#This Row],[hargaSatuan]]</f>
        <v>0</v>
      </c>
      <c r="L577" s="50">
        <v>95</v>
      </c>
      <c r="M577" s="51">
        <f>Vaksin[[#This Row],[qtyDist2025]]*Vaksin[[#This Row],[hargaSatuan]]</f>
        <v>2142806.7000000002</v>
      </c>
      <c r="N577" s="50">
        <v>0</v>
      </c>
      <c r="O577" s="51">
        <f>Vaksin[[#This Row],[qtyEd2025]]*Vaksin[[#This Row],[hargaSatuan]]</f>
        <v>0</v>
      </c>
      <c r="P577" s="50">
        <v>0</v>
      </c>
      <c r="Q577" s="52">
        <f>Vaksin[[#This Row],[qtySaldoAkhir2025]]*Vaksin[[#This Row],[hargaSatuan]]</f>
        <v>0</v>
      </c>
      <c r="S577" s="32">
        <f t="shared" si="16"/>
        <v>0</v>
      </c>
      <c r="T577" s="32">
        <f t="shared" si="17"/>
        <v>0</v>
      </c>
    </row>
    <row r="578" spans="1:20" ht="14.4" x14ac:dyDescent="0.3">
      <c r="A578" s="44">
        <v>70</v>
      </c>
      <c r="B578" s="45" t="s">
        <v>734</v>
      </c>
      <c r="C578" s="46" t="s">
        <v>408</v>
      </c>
      <c r="D578" s="47">
        <v>2054124</v>
      </c>
      <c r="E578" s="48">
        <v>46357</v>
      </c>
      <c r="F578" s="49">
        <v>25739.64</v>
      </c>
      <c r="G578" s="45" t="s">
        <v>40</v>
      </c>
      <c r="H578" s="50">
        <v>0</v>
      </c>
      <c r="I578" s="49">
        <f>Vaksin[[#This Row],[qtySaldoAwalSem1]]*Vaksin[[#This Row],[hargaSatuan]]</f>
        <v>0</v>
      </c>
      <c r="J578" s="50">
        <v>300</v>
      </c>
      <c r="K578" s="51">
        <f>Vaksin[[#This Row],[qtyTerima2025]]*Vaksin[[#This Row],[hargaSatuan]]</f>
        <v>7721892</v>
      </c>
      <c r="L578" s="50">
        <v>300</v>
      </c>
      <c r="M578" s="51">
        <f>Vaksin[[#This Row],[qtyDist2025]]*Vaksin[[#This Row],[hargaSatuan]]</f>
        <v>7721892</v>
      </c>
      <c r="N578" s="50">
        <v>0</v>
      </c>
      <c r="O578" s="51">
        <f>Vaksin[[#This Row],[qtyEd2025]]*Vaksin[[#This Row],[hargaSatuan]]</f>
        <v>0</v>
      </c>
      <c r="P578" s="50">
        <v>0</v>
      </c>
      <c r="Q578" s="52">
        <f>Vaksin[[#This Row],[qtySaldoAkhir2025]]*Vaksin[[#This Row],[hargaSatuan]]</f>
        <v>0</v>
      </c>
      <c r="S578" s="32">
        <f t="shared" si="16"/>
        <v>0</v>
      </c>
      <c r="T578" s="32">
        <f t="shared" si="17"/>
        <v>0</v>
      </c>
    </row>
    <row r="579" spans="1:20" ht="14.4" x14ac:dyDescent="0.3">
      <c r="A579" s="44">
        <v>71</v>
      </c>
      <c r="B579" s="45" t="s">
        <v>734</v>
      </c>
      <c r="C579" s="46" t="s">
        <v>408</v>
      </c>
      <c r="D579" s="47">
        <v>2050324</v>
      </c>
      <c r="E579" s="48">
        <v>46054</v>
      </c>
      <c r="F579" s="49">
        <v>24710.81</v>
      </c>
      <c r="G579" s="45" t="s">
        <v>40</v>
      </c>
      <c r="H579" s="50">
        <v>0</v>
      </c>
      <c r="I579" s="49">
        <f>Vaksin[[#This Row],[qtySaldoAwalSem1]]*Vaksin[[#This Row],[hargaSatuan]]</f>
        <v>0</v>
      </c>
      <c r="J579" s="50">
        <v>420</v>
      </c>
      <c r="K579" s="51">
        <f>Vaksin[[#This Row],[qtyTerima2025]]*Vaksin[[#This Row],[hargaSatuan]]</f>
        <v>10378540.200000001</v>
      </c>
      <c r="L579" s="50">
        <v>420</v>
      </c>
      <c r="M579" s="51">
        <f>Vaksin[[#This Row],[qtyDist2025]]*Vaksin[[#This Row],[hargaSatuan]]</f>
        <v>10378540.200000001</v>
      </c>
      <c r="N579" s="50">
        <v>0</v>
      </c>
      <c r="O579" s="51">
        <f>Vaksin[[#This Row],[qtyEd2025]]*Vaksin[[#This Row],[hargaSatuan]]</f>
        <v>0</v>
      </c>
      <c r="P579" s="50">
        <v>0</v>
      </c>
      <c r="Q579" s="52">
        <f>Vaksin[[#This Row],[qtySaldoAkhir2025]]*Vaksin[[#This Row],[hargaSatuan]]</f>
        <v>0</v>
      </c>
      <c r="S579" s="32">
        <f t="shared" si="16"/>
        <v>0</v>
      </c>
      <c r="T579" s="32">
        <f t="shared" si="17"/>
        <v>0</v>
      </c>
    </row>
    <row r="580" spans="1:20" ht="14.4" x14ac:dyDescent="0.3">
      <c r="A580" s="44">
        <v>72</v>
      </c>
      <c r="B580" s="45" t="s">
        <v>734</v>
      </c>
      <c r="C580" s="46" t="s">
        <v>408</v>
      </c>
      <c r="D580" s="47">
        <v>2054124</v>
      </c>
      <c r="E580" s="48">
        <v>46357</v>
      </c>
      <c r="F580" s="49">
        <v>25739.64</v>
      </c>
      <c r="G580" s="45" t="s">
        <v>40</v>
      </c>
      <c r="H580" s="50">
        <v>0</v>
      </c>
      <c r="I580" s="49">
        <f>Vaksin[[#This Row],[qtySaldoAwalSem1]]*Vaksin[[#This Row],[hargaSatuan]]</f>
        <v>0</v>
      </c>
      <c r="J580" s="50">
        <v>1200</v>
      </c>
      <c r="K580" s="51">
        <f>Vaksin[[#This Row],[qtyTerima2025]]*Vaksin[[#This Row],[hargaSatuan]]</f>
        <v>30887568</v>
      </c>
      <c r="L580" s="50">
        <v>1200</v>
      </c>
      <c r="M580" s="51">
        <f>Vaksin[[#This Row],[qtyDist2025]]*Vaksin[[#This Row],[hargaSatuan]]</f>
        <v>30887568</v>
      </c>
      <c r="N580" s="50">
        <v>0</v>
      </c>
      <c r="O580" s="51">
        <f>Vaksin[[#This Row],[qtyEd2025]]*Vaksin[[#This Row],[hargaSatuan]]</f>
        <v>0</v>
      </c>
      <c r="P580" s="50">
        <v>0</v>
      </c>
      <c r="Q580" s="52">
        <f>Vaksin[[#This Row],[qtySaldoAkhir2025]]*Vaksin[[#This Row],[hargaSatuan]]</f>
        <v>0</v>
      </c>
      <c r="S580" s="32">
        <f t="shared" si="16"/>
        <v>0</v>
      </c>
      <c r="T580" s="32">
        <f t="shared" si="17"/>
        <v>0</v>
      </c>
    </row>
    <row r="581" spans="1:20" ht="14.4" x14ac:dyDescent="0.3">
      <c r="A581" s="44">
        <v>73</v>
      </c>
      <c r="B581" s="45" t="s">
        <v>734</v>
      </c>
      <c r="C581" s="46" t="s">
        <v>408</v>
      </c>
      <c r="D581" s="47">
        <v>20501125</v>
      </c>
      <c r="E581" s="48">
        <v>46473</v>
      </c>
      <c r="F581" s="49">
        <v>25739.64</v>
      </c>
      <c r="G581" s="45" t="s">
        <v>40</v>
      </c>
      <c r="H581" s="50">
        <v>0</v>
      </c>
      <c r="I581" s="49">
        <f>Vaksin[[#This Row],[qtySaldoAwalSem1]]*Vaksin[[#This Row],[hargaSatuan]]</f>
        <v>0</v>
      </c>
      <c r="J581" s="50">
        <v>300</v>
      </c>
      <c r="K581" s="51">
        <f>Vaksin[[#This Row],[qtyTerima2025]]*Vaksin[[#This Row],[hargaSatuan]]</f>
        <v>7721892</v>
      </c>
      <c r="L581" s="50">
        <v>300</v>
      </c>
      <c r="M581" s="51">
        <f>Vaksin[[#This Row],[qtyDist2025]]*Vaksin[[#This Row],[hargaSatuan]]</f>
        <v>7721892</v>
      </c>
      <c r="N581" s="50">
        <v>0</v>
      </c>
      <c r="O581" s="51">
        <f>Vaksin[[#This Row],[qtyEd2025]]*Vaksin[[#This Row],[hargaSatuan]]</f>
        <v>0</v>
      </c>
      <c r="P581" s="50">
        <v>0</v>
      </c>
      <c r="Q581" s="52">
        <f>Vaksin[[#This Row],[qtySaldoAkhir2025]]*Vaksin[[#This Row],[hargaSatuan]]</f>
        <v>0</v>
      </c>
      <c r="S581" s="32">
        <f t="shared" si="16"/>
        <v>0</v>
      </c>
      <c r="T581" s="32">
        <f t="shared" si="17"/>
        <v>0</v>
      </c>
    </row>
    <row r="582" spans="1:20" ht="14.4" x14ac:dyDescent="0.3">
      <c r="A582" s="44">
        <v>74</v>
      </c>
      <c r="B582" s="45" t="s">
        <v>734</v>
      </c>
      <c r="C582" s="46" t="s">
        <v>408</v>
      </c>
      <c r="D582" s="47">
        <v>20500525</v>
      </c>
      <c r="E582" s="48">
        <v>46445</v>
      </c>
      <c r="F582" s="49">
        <v>25739.64</v>
      </c>
      <c r="G582" s="45" t="s">
        <v>40</v>
      </c>
      <c r="H582" s="50">
        <v>0</v>
      </c>
      <c r="I582" s="49">
        <f>Vaksin[[#This Row],[qtySaldoAwalSem1]]*Vaksin[[#This Row],[hargaSatuan]]</f>
        <v>0</v>
      </c>
      <c r="J582" s="50">
        <v>300</v>
      </c>
      <c r="K582" s="51">
        <f>Vaksin[[#This Row],[qtyTerima2025]]*Vaksin[[#This Row],[hargaSatuan]]</f>
        <v>7721892</v>
      </c>
      <c r="L582" s="50">
        <v>300</v>
      </c>
      <c r="M582" s="51">
        <f>Vaksin[[#This Row],[qtyDist2025]]*Vaksin[[#This Row],[hargaSatuan]]</f>
        <v>7721892</v>
      </c>
      <c r="N582" s="50">
        <v>0</v>
      </c>
      <c r="O582" s="51">
        <f>Vaksin[[#This Row],[qtyEd2025]]*Vaksin[[#This Row],[hargaSatuan]]</f>
        <v>0</v>
      </c>
      <c r="P582" s="50">
        <v>0</v>
      </c>
      <c r="Q582" s="52">
        <f>Vaksin[[#This Row],[qtySaldoAkhir2025]]*Vaksin[[#This Row],[hargaSatuan]]</f>
        <v>0</v>
      </c>
      <c r="S582" s="32">
        <f t="shared" si="16"/>
        <v>0</v>
      </c>
      <c r="T582" s="32">
        <f t="shared" si="17"/>
        <v>0</v>
      </c>
    </row>
    <row r="583" spans="1:20" ht="14.4" x14ac:dyDescent="0.3">
      <c r="A583" s="44">
        <v>75</v>
      </c>
      <c r="B583" s="45" t="s">
        <v>734</v>
      </c>
      <c r="C583" s="46" t="s">
        <v>408</v>
      </c>
      <c r="D583" s="47">
        <v>20500625</v>
      </c>
      <c r="E583" s="48">
        <v>46445</v>
      </c>
      <c r="F583" s="49">
        <v>25739.64</v>
      </c>
      <c r="G583" s="45" t="s">
        <v>40</v>
      </c>
      <c r="H583" s="50">
        <v>0</v>
      </c>
      <c r="I583" s="49">
        <f>Vaksin[[#This Row],[qtySaldoAwalSem1]]*Vaksin[[#This Row],[hargaSatuan]]</f>
        <v>0</v>
      </c>
      <c r="J583" s="50">
        <v>300</v>
      </c>
      <c r="K583" s="51">
        <f>Vaksin[[#This Row],[qtyTerima2025]]*Vaksin[[#This Row],[hargaSatuan]]</f>
        <v>7721892</v>
      </c>
      <c r="L583" s="50">
        <v>10</v>
      </c>
      <c r="M583" s="51">
        <f>Vaksin[[#This Row],[qtyDist2025]]*Vaksin[[#This Row],[hargaSatuan]]</f>
        <v>257396.4</v>
      </c>
      <c r="N583" s="50">
        <v>0</v>
      </c>
      <c r="O583" s="51">
        <f>Vaksin[[#This Row],[qtyEd2025]]*Vaksin[[#This Row],[hargaSatuan]]</f>
        <v>0</v>
      </c>
      <c r="P583" s="50">
        <v>290</v>
      </c>
      <c r="Q583" s="52">
        <f>Vaksin[[#This Row],[qtySaldoAkhir2025]]*Vaksin[[#This Row],[hargaSatuan]]</f>
        <v>7464495.5999999996</v>
      </c>
      <c r="S583" s="32">
        <f t="shared" si="16"/>
        <v>7464495.5999999996</v>
      </c>
      <c r="T583" s="32">
        <f t="shared" si="17"/>
        <v>0</v>
      </c>
    </row>
    <row r="584" spans="1:20" ht="14.4" x14ac:dyDescent="0.3">
      <c r="A584" s="44"/>
      <c r="B584" s="45" t="s">
        <v>734</v>
      </c>
      <c r="C584" s="46" t="s">
        <v>408</v>
      </c>
      <c r="D584" s="47">
        <v>2057823</v>
      </c>
      <c r="E584" s="48">
        <v>46023</v>
      </c>
      <c r="F584" s="49">
        <v>25739.64</v>
      </c>
      <c r="G584" s="45" t="s">
        <v>40</v>
      </c>
      <c r="H584" s="50">
        <v>0</v>
      </c>
      <c r="I584" s="49">
        <f>Vaksin[[#This Row],[qtySaldoAwalSem1]]*Vaksin[[#This Row],[hargaSatuan]]</f>
        <v>0</v>
      </c>
      <c r="J584" s="50">
        <v>200</v>
      </c>
      <c r="K584" s="51">
        <f>Vaksin[[#This Row],[qtyTerima2025]]*Vaksin[[#This Row],[hargaSatuan]]</f>
        <v>5147928</v>
      </c>
      <c r="L584" s="50">
        <v>200</v>
      </c>
      <c r="M584" s="51">
        <f>Vaksin[[#This Row],[qtyDist2025]]*Vaksin[[#This Row],[hargaSatuan]]</f>
        <v>5147928</v>
      </c>
      <c r="N584" s="50">
        <v>0</v>
      </c>
      <c r="O584" s="51">
        <f>Vaksin[[#This Row],[qtyEd2025]]*Vaksin[[#This Row],[hargaSatuan]]</f>
        <v>0</v>
      </c>
      <c r="P584" s="50">
        <v>0</v>
      </c>
      <c r="Q584" s="52">
        <f>Vaksin[[#This Row],[qtySaldoAkhir2025]]*Vaksin[[#This Row],[hargaSatuan]]</f>
        <v>0</v>
      </c>
      <c r="S584" s="32">
        <f t="shared" si="16"/>
        <v>0</v>
      </c>
      <c r="T584" s="32">
        <f t="shared" si="17"/>
        <v>0</v>
      </c>
    </row>
    <row r="585" spans="1:20" ht="14.4" x14ac:dyDescent="0.3">
      <c r="A585" s="44">
        <v>76</v>
      </c>
      <c r="B585" s="45" t="s">
        <v>735</v>
      </c>
      <c r="C585" s="46" t="s">
        <v>408</v>
      </c>
      <c r="D585" s="47" t="s">
        <v>736</v>
      </c>
      <c r="E585" s="48">
        <v>46388</v>
      </c>
      <c r="F585" s="49">
        <v>163046</v>
      </c>
      <c r="G585" s="45" t="s">
        <v>40</v>
      </c>
      <c r="H585" s="50">
        <v>40</v>
      </c>
      <c r="I585" s="49">
        <f>Vaksin[[#This Row],[qtySaldoAwalSem1]]*Vaksin[[#This Row],[hargaSatuan]]</f>
        <v>6521840</v>
      </c>
      <c r="J585" s="50">
        <v>0</v>
      </c>
      <c r="K585" s="51">
        <f>Vaksin[[#This Row],[qtyTerima2025]]*Vaksin[[#This Row],[hargaSatuan]]</f>
        <v>0</v>
      </c>
      <c r="L585" s="50">
        <v>40</v>
      </c>
      <c r="M585" s="51">
        <f>Vaksin[[#This Row],[qtyDist2025]]*Vaksin[[#This Row],[hargaSatuan]]</f>
        <v>6521840</v>
      </c>
      <c r="N585" s="50">
        <v>0</v>
      </c>
      <c r="O585" s="51">
        <f>Vaksin[[#This Row],[qtyEd2025]]*Vaksin[[#This Row],[hargaSatuan]]</f>
        <v>0</v>
      </c>
      <c r="P585" s="50">
        <v>0</v>
      </c>
      <c r="Q585" s="52">
        <f>Vaksin[[#This Row],[qtySaldoAkhir2025]]*Vaksin[[#This Row],[hargaSatuan]]</f>
        <v>0</v>
      </c>
      <c r="S585" s="32">
        <f t="shared" ref="S585:S648" si="18">IFERROR(I585+K585-(M585+O585),0)</f>
        <v>0</v>
      </c>
      <c r="T585" s="32">
        <f t="shared" ref="T585:T648" si="19">IFERROR(Q585-S585,0)</f>
        <v>0</v>
      </c>
    </row>
    <row r="586" spans="1:20" ht="14.4" x14ac:dyDescent="0.3">
      <c r="A586" s="44">
        <v>77</v>
      </c>
      <c r="B586" s="45" t="s">
        <v>737</v>
      </c>
      <c r="C586" s="46" t="s">
        <v>738</v>
      </c>
      <c r="D586" s="47" t="s">
        <v>739</v>
      </c>
      <c r="E586" s="48">
        <v>46194</v>
      </c>
      <c r="F586" s="49">
        <v>103669</v>
      </c>
      <c r="G586" s="45" t="s">
        <v>40</v>
      </c>
      <c r="H586" s="50">
        <v>0</v>
      </c>
      <c r="I586" s="49">
        <f>Vaksin[[#This Row],[qtySaldoAwalSem1]]*Vaksin[[#This Row],[hargaSatuan]]</f>
        <v>0</v>
      </c>
      <c r="J586" s="50">
        <v>350</v>
      </c>
      <c r="K586" s="51">
        <f>Vaksin[[#This Row],[qtyTerima2025]]*Vaksin[[#This Row],[hargaSatuan]]</f>
        <v>36284150</v>
      </c>
      <c r="L586" s="50">
        <v>350</v>
      </c>
      <c r="M586" s="51">
        <f>Vaksin[[#This Row],[qtyDist2025]]*Vaksin[[#This Row],[hargaSatuan]]</f>
        <v>36284150</v>
      </c>
      <c r="N586" s="50">
        <v>0</v>
      </c>
      <c r="O586" s="51">
        <f>Vaksin[[#This Row],[qtyEd2025]]*Vaksin[[#This Row],[hargaSatuan]]</f>
        <v>0</v>
      </c>
      <c r="P586" s="50">
        <v>0</v>
      </c>
      <c r="Q586" s="52">
        <f>Vaksin[[#This Row],[qtySaldoAkhir2025]]*Vaksin[[#This Row],[hargaSatuan]]</f>
        <v>0</v>
      </c>
      <c r="S586" s="32">
        <f t="shared" si="18"/>
        <v>0</v>
      </c>
      <c r="T586" s="32">
        <f t="shared" si="19"/>
        <v>0</v>
      </c>
    </row>
    <row r="587" spans="1:20" ht="14.4" x14ac:dyDescent="0.3">
      <c r="A587" s="44">
        <v>78</v>
      </c>
      <c r="B587" s="45" t="s">
        <v>737</v>
      </c>
      <c r="C587" s="46" t="s">
        <v>738</v>
      </c>
      <c r="D587" s="47" t="s">
        <v>739</v>
      </c>
      <c r="E587" s="48">
        <v>46199</v>
      </c>
      <c r="F587" s="49">
        <v>103669</v>
      </c>
      <c r="G587" s="45" t="s">
        <v>40</v>
      </c>
      <c r="H587" s="50">
        <v>0</v>
      </c>
      <c r="I587" s="49">
        <f>Vaksin[[#This Row],[qtySaldoAwalSem1]]*Vaksin[[#This Row],[hargaSatuan]]</f>
        <v>0</v>
      </c>
      <c r="J587" s="50">
        <v>150</v>
      </c>
      <c r="K587" s="51">
        <f>Vaksin[[#This Row],[qtyTerima2025]]*Vaksin[[#This Row],[hargaSatuan]]</f>
        <v>15550350</v>
      </c>
      <c r="L587" s="50">
        <v>150</v>
      </c>
      <c r="M587" s="51">
        <f>Vaksin[[#This Row],[qtyDist2025]]*Vaksin[[#This Row],[hargaSatuan]]</f>
        <v>15550350</v>
      </c>
      <c r="N587" s="50">
        <v>0</v>
      </c>
      <c r="O587" s="51">
        <f>Vaksin[[#This Row],[qtyEd2025]]*Vaksin[[#This Row],[hargaSatuan]]</f>
        <v>0</v>
      </c>
      <c r="P587" s="50">
        <v>0</v>
      </c>
      <c r="Q587" s="52">
        <f>Vaksin[[#This Row],[qtySaldoAkhir2025]]*Vaksin[[#This Row],[hargaSatuan]]</f>
        <v>0</v>
      </c>
      <c r="S587" s="32">
        <f t="shared" si="18"/>
        <v>0</v>
      </c>
      <c r="T587" s="32">
        <f t="shared" si="19"/>
        <v>0</v>
      </c>
    </row>
    <row r="588" spans="1:20" ht="14.4" x14ac:dyDescent="0.3">
      <c r="A588" s="44">
        <v>79</v>
      </c>
      <c r="B588" s="45" t="s">
        <v>737</v>
      </c>
      <c r="C588" s="46" t="s">
        <v>408</v>
      </c>
      <c r="D588" s="47" t="s">
        <v>740</v>
      </c>
      <c r="E588" s="48">
        <v>46291</v>
      </c>
      <c r="F588" s="49">
        <v>103669</v>
      </c>
      <c r="G588" s="45" t="s">
        <v>40</v>
      </c>
      <c r="H588" s="50">
        <v>0</v>
      </c>
      <c r="I588" s="49">
        <f>Vaksin[[#This Row],[qtySaldoAwalSem1]]*Vaksin[[#This Row],[hargaSatuan]]</f>
        <v>0</v>
      </c>
      <c r="J588" s="50">
        <v>420</v>
      </c>
      <c r="K588" s="51">
        <f>Vaksin[[#This Row],[qtyTerima2025]]*Vaksin[[#This Row],[hargaSatuan]]</f>
        <v>43540980</v>
      </c>
      <c r="L588" s="50">
        <v>235</v>
      </c>
      <c r="M588" s="51">
        <f>Vaksin[[#This Row],[qtyDist2025]]*Vaksin[[#This Row],[hargaSatuan]]</f>
        <v>24362215</v>
      </c>
      <c r="N588" s="50">
        <v>0</v>
      </c>
      <c r="O588" s="51">
        <f>Vaksin[[#This Row],[qtyEd2025]]*Vaksin[[#This Row],[hargaSatuan]]</f>
        <v>0</v>
      </c>
      <c r="P588" s="50">
        <v>185</v>
      </c>
      <c r="Q588" s="52">
        <f>Vaksin[[#This Row],[qtySaldoAkhir2025]]*Vaksin[[#This Row],[hargaSatuan]]</f>
        <v>19178765</v>
      </c>
      <c r="S588" s="32">
        <f t="shared" si="18"/>
        <v>19178765</v>
      </c>
      <c r="T588" s="32">
        <f t="shared" si="19"/>
        <v>0</v>
      </c>
    </row>
    <row r="589" spans="1:20" ht="14.4" x14ac:dyDescent="0.3">
      <c r="A589" s="44">
        <v>80</v>
      </c>
      <c r="B589" s="45" t="s">
        <v>737</v>
      </c>
      <c r="C589" s="46" t="s">
        <v>717</v>
      </c>
      <c r="D589" s="47" t="s">
        <v>741</v>
      </c>
      <c r="E589" s="48">
        <v>46291</v>
      </c>
      <c r="F589" s="49">
        <v>103669</v>
      </c>
      <c r="G589" s="45" t="s">
        <v>40</v>
      </c>
      <c r="H589" s="50">
        <v>0</v>
      </c>
      <c r="I589" s="49">
        <f>Vaksin[[#This Row],[qtySaldoAwalSem1]]*Vaksin[[#This Row],[hargaSatuan]]</f>
        <v>0</v>
      </c>
      <c r="J589" s="50">
        <v>630</v>
      </c>
      <c r="K589" s="51">
        <f>Vaksin[[#This Row],[qtyTerima2025]]*Vaksin[[#This Row],[hargaSatuan]]</f>
        <v>65311470</v>
      </c>
      <c r="L589" s="50">
        <v>630</v>
      </c>
      <c r="M589" s="51">
        <f>Vaksin[[#This Row],[qtyDist2025]]*Vaksin[[#This Row],[hargaSatuan]]</f>
        <v>65311470</v>
      </c>
      <c r="N589" s="50">
        <v>0</v>
      </c>
      <c r="O589" s="51">
        <f>Vaksin[[#This Row],[qtyEd2025]]*Vaksin[[#This Row],[hargaSatuan]]</f>
        <v>0</v>
      </c>
      <c r="P589" s="50">
        <v>0</v>
      </c>
      <c r="Q589" s="52">
        <f>Vaksin[[#This Row],[qtySaldoAkhir2025]]*Vaksin[[#This Row],[hargaSatuan]]</f>
        <v>0</v>
      </c>
      <c r="S589" s="32">
        <f t="shared" si="18"/>
        <v>0</v>
      </c>
      <c r="T589" s="32">
        <f t="shared" si="19"/>
        <v>0</v>
      </c>
    </row>
    <row r="590" spans="1:20" ht="14.4" x14ac:dyDescent="0.3">
      <c r="A590" s="44"/>
      <c r="B590" s="45" t="s">
        <v>742</v>
      </c>
      <c r="C590" s="46" t="s">
        <v>408</v>
      </c>
      <c r="D590" s="47" t="s">
        <v>743</v>
      </c>
      <c r="E590" s="48">
        <v>46997</v>
      </c>
      <c r="F590" s="49">
        <v>240709.91</v>
      </c>
      <c r="G590" s="45" t="s">
        <v>40</v>
      </c>
      <c r="H590" s="50">
        <v>0</v>
      </c>
      <c r="I590" s="49">
        <f>Vaksin[[#This Row],[qtySaldoAwalSem1]]*Vaksin[[#This Row],[hargaSatuan]]</f>
        <v>0</v>
      </c>
      <c r="J590" s="50">
        <v>200</v>
      </c>
      <c r="K590" s="51">
        <f>Vaksin[[#This Row],[qtyTerima2025]]*Vaksin[[#This Row],[hargaSatuan]]</f>
        <v>48141982</v>
      </c>
      <c r="L590" s="50">
        <v>200</v>
      </c>
      <c r="M590" s="51">
        <f>Vaksin[[#This Row],[qtyDist2025]]*Vaksin[[#This Row],[hargaSatuan]]</f>
        <v>48141982</v>
      </c>
      <c r="N590" s="50">
        <v>0</v>
      </c>
      <c r="O590" s="51">
        <f>Vaksin[[#This Row],[qtyEd2025]]*Vaksin[[#This Row],[hargaSatuan]]</f>
        <v>0</v>
      </c>
      <c r="P590" s="50">
        <v>0</v>
      </c>
      <c r="Q590" s="52">
        <f>Vaksin[[#This Row],[qtySaldoAkhir2025]]*Vaksin[[#This Row],[hargaSatuan]]</f>
        <v>0</v>
      </c>
      <c r="S590" s="32">
        <f t="shared" si="18"/>
        <v>0</v>
      </c>
      <c r="T590" s="32">
        <f t="shared" si="19"/>
        <v>0</v>
      </c>
    </row>
    <row r="591" spans="1:20" ht="14.4" x14ac:dyDescent="0.3">
      <c r="A591" s="44"/>
      <c r="B591" s="45" t="s">
        <v>742</v>
      </c>
      <c r="C591" s="46" t="s">
        <v>408</v>
      </c>
      <c r="D591" s="47" t="s">
        <v>744</v>
      </c>
      <c r="E591" s="48">
        <v>46997</v>
      </c>
      <c r="F591" s="49">
        <v>240709.91</v>
      </c>
      <c r="G591" s="45" t="s">
        <v>40</v>
      </c>
      <c r="H591" s="50">
        <v>0</v>
      </c>
      <c r="I591" s="49">
        <f>Vaksin[[#This Row],[qtySaldoAwalSem1]]*Vaksin[[#This Row],[hargaSatuan]]</f>
        <v>0</v>
      </c>
      <c r="J591" s="50">
        <v>300</v>
      </c>
      <c r="K591" s="51">
        <f>Vaksin[[#This Row],[qtyTerima2025]]*Vaksin[[#This Row],[hargaSatuan]]</f>
        <v>72212973</v>
      </c>
      <c r="L591" s="50">
        <v>300</v>
      </c>
      <c r="M591" s="51">
        <f>Vaksin[[#This Row],[qtyDist2025]]*Vaksin[[#This Row],[hargaSatuan]]</f>
        <v>72212973</v>
      </c>
      <c r="N591" s="50">
        <v>0</v>
      </c>
      <c r="O591" s="51">
        <f>Vaksin[[#This Row],[qtyEd2025]]*Vaksin[[#This Row],[hargaSatuan]]</f>
        <v>0</v>
      </c>
      <c r="P591" s="50">
        <v>0</v>
      </c>
      <c r="Q591" s="52">
        <f>Vaksin[[#This Row],[qtySaldoAkhir2025]]*Vaksin[[#This Row],[hargaSatuan]]</f>
        <v>0</v>
      </c>
      <c r="S591" s="32">
        <f t="shared" si="18"/>
        <v>0</v>
      </c>
      <c r="T591" s="32">
        <f t="shared" si="19"/>
        <v>0</v>
      </c>
    </row>
    <row r="592" spans="1:20" ht="14.4" x14ac:dyDescent="0.3">
      <c r="A592" s="44">
        <v>81</v>
      </c>
      <c r="B592" s="45" t="s">
        <v>742</v>
      </c>
      <c r="C592" s="46" t="s">
        <v>408</v>
      </c>
      <c r="D592" s="47" t="s">
        <v>745</v>
      </c>
      <c r="E592" s="48">
        <v>46997</v>
      </c>
      <c r="F592" s="49">
        <v>240709.91</v>
      </c>
      <c r="G592" s="45" t="s">
        <v>40</v>
      </c>
      <c r="H592" s="50">
        <v>0</v>
      </c>
      <c r="I592" s="49">
        <f>Vaksin[[#This Row],[qtySaldoAwalSem1]]*Vaksin[[#This Row],[hargaSatuan]]</f>
        <v>0</v>
      </c>
      <c r="J592" s="50">
        <v>600</v>
      </c>
      <c r="K592" s="51">
        <f>Vaksin[[#This Row],[qtyTerima2025]]*Vaksin[[#This Row],[hargaSatuan]]</f>
        <v>144425946</v>
      </c>
      <c r="L592" s="50">
        <v>600</v>
      </c>
      <c r="M592" s="51">
        <f>Vaksin[[#This Row],[qtyDist2025]]*Vaksin[[#This Row],[hargaSatuan]]</f>
        <v>144425946</v>
      </c>
      <c r="N592" s="50">
        <v>0</v>
      </c>
      <c r="O592" s="51">
        <f>Vaksin[[#This Row],[qtyEd2025]]*Vaksin[[#This Row],[hargaSatuan]]</f>
        <v>0</v>
      </c>
      <c r="P592" s="50">
        <v>0</v>
      </c>
      <c r="Q592" s="52">
        <f>Vaksin[[#This Row],[qtySaldoAkhir2025]]*Vaksin[[#This Row],[hargaSatuan]]</f>
        <v>0</v>
      </c>
      <c r="S592" s="32">
        <f t="shared" si="18"/>
        <v>0</v>
      </c>
      <c r="T592" s="32">
        <f t="shared" si="19"/>
        <v>0</v>
      </c>
    </row>
    <row r="593" spans="1:21" ht="14.4" x14ac:dyDescent="0.3">
      <c r="A593" s="44">
        <v>82</v>
      </c>
      <c r="B593" s="45" t="s">
        <v>742</v>
      </c>
      <c r="C593" s="46" t="s">
        <v>408</v>
      </c>
      <c r="D593" s="47" t="s">
        <v>746</v>
      </c>
      <c r="E593" s="48">
        <v>46997</v>
      </c>
      <c r="F593" s="49">
        <v>240709.91</v>
      </c>
      <c r="G593" s="45" t="s">
        <v>40</v>
      </c>
      <c r="H593" s="50">
        <v>0</v>
      </c>
      <c r="I593" s="49">
        <f>Vaksin[[#This Row],[qtySaldoAwalSem1]]*Vaksin[[#This Row],[hargaSatuan]]</f>
        <v>0</v>
      </c>
      <c r="J593" s="50">
        <v>100</v>
      </c>
      <c r="K593" s="51">
        <f>Vaksin[[#This Row],[qtyTerima2025]]*Vaksin[[#This Row],[hargaSatuan]]</f>
        <v>24070991</v>
      </c>
      <c r="L593" s="50">
        <v>100</v>
      </c>
      <c r="M593" s="51">
        <f>Vaksin[[#This Row],[qtyDist2025]]*Vaksin[[#This Row],[hargaSatuan]]</f>
        <v>24070991</v>
      </c>
      <c r="N593" s="50">
        <v>0</v>
      </c>
      <c r="O593" s="51">
        <f>Vaksin[[#This Row],[qtyEd2025]]*Vaksin[[#This Row],[hargaSatuan]]</f>
        <v>0</v>
      </c>
      <c r="P593" s="50">
        <v>0</v>
      </c>
      <c r="Q593" s="52">
        <f>Vaksin[[#This Row],[qtySaldoAkhir2025]]*Vaksin[[#This Row],[hargaSatuan]]</f>
        <v>0</v>
      </c>
      <c r="S593" s="32">
        <f t="shared" si="18"/>
        <v>0</v>
      </c>
      <c r="T593" s="32">
        <f t="shared" si="19"/>
        <v>0</v>
      </c>
    </row>
    <row r="594" spans="1:21" ht="14.4" x14ac:dyDescent="0.3">
      <c r="A594" s="59">
        <v>83</v>
      </c>
      <c r="B594" s="60" t="s">
        <v>742</v>
      </c>
      <c r="C594" s="61" t="s">
        <v>408</v>
      </c>
      <c r="D594" s="62" t="s">
        <v>747</v>
      </c>
      <c r="E594" s="63">
        <v>46844</v>
      </c>
      <c r="F594" s="64">
        <v>232887.39</v>
      </c>
      <c r="G594" s="60" t="s">
        <v>40</v>
      </c>
      <c r="H594" s="65">
        <v>10</v>
      </c>
      <c r="I594" s="49">
        <f>Vaksin[[#This Row],[qtySaldoAwalSem1]]*Vaksin[[#This Row],[hargaSatuan]]</f>
        <v>2328873.9000000004</v>
      </c>
      <c r="J594" s="65">
        <v>0</v>
      </c>
      <c r="K594" s="51">
        <f>Vaksin[[#This Row],[qtyTerima2025]]*Vaksin[[#This Row],[hargaSatuan]]</f>
        <v>0</v>
      </c>
      <c r="L594" s="65">
        <v>10</v>
      </c>
      <c r="M594" s="51">
        <f>Vaksin[[#This Row],[qtyDist2025]]*Vaksin[[#This Row],[hargaSatuan]]</f>
        <v>2328873.9000000004</v>
      </c>
      <c r="N594" s="65">
        <v>0</v>
      </c>
      <c r="O594" s="51">
        <f>Vaksin[[#This Row],[qtyEd2025]]*Vaksin[[#This Row],[hargaSatuan]]</f>
        <v>0</v>
      </c>
      <c r="P594" s="65">
        <v>0</v>
      </c>
      <c r="Q594" s="52">
        <f>Vaksin[[#This Row],[qtySaldoAkhir2025]]*Vaksin[[#This Row],[hargaSatuan]]</f>
        <v>0</v>
      </c>
      <c r="S594" s="32">
        <f t="shared" si="18"/>
        <v>0</v>
      </c>
      <c r="T594" s="32">
        <f t="shared" si="19"/>
        <v>0</v>
      </c>
    </row>
    <row r="595" spans="1:21" ht="14.4" x14ac:dyDescent="0.3">
      <c r="A595" s="83"/>
      <c r="B595" s="27" t="s">
        <v>748</v>
      </c>
      <c r="C595" s="26"/>
      <c r="D595" s="28"/>
      <c r="E595" s="29"/>
      <c r="F595" s="30"/>
      <c r="G595" s="27"/>
      <c r="H595" s="30"/>
      <c r="I595" s="30">
        <f>SUBTOTAL(9,BHP[nomSaldoAwalSem1])</f>
        <v>3022724008.1463804</v>
      </c>
      <c r="J595" s="30"/>
      <c r="K595" s="30">
        <f>SUBTOTAL(9,BHP[nomTerima2025])</f>
        <v>971343717.44919991</v>
      </c>
      <c r="L595" s="30"/>
      <c r="M595" s="30">
        <f>SUBTOTAL(9,BHP[nomDist2025])</f>
        <v>1189818647.5878353</v>
      </c>
      <c r="N595" s="30"/>
      <c r="O595" s="30">
        <f>SUBTOTAL(9,BHP[nomEd2025])</f>
        <v>837046.66666666663</v>
      </c>
      <c r="P595" s="30"/>
      <c r="Q595" s="30">
        <f>SUBTOTAL(9,BHP[nomSaldoAkhir2025])</f>
        <v>2803412031.3410778</v>
      </c>
      <c r="S595" s="32">
        <f t="shared" si="18"/>
        <v>2803412031.3410778</v>
      </c>
      <c r="T595" s="32">
        <f t="shared" si="19"/>
        <v>0</v>
      </c>
      <c r="U595" s="32">
        <f>I595-'[1]RINCIAN IFK'!$AV$669</f>
        <v>0</v>
      </c>
    </row>
    <row r="596" spans="1:21" ht="14.4" x14ac:dyDescent="0.3">
      <c r="A596" s="35" t="s">
        <v>19</v>
      </c>
      <c r="B596" s="36" t="s">
        <v>20</v>
      </c>
      <c r="C596" s="37" t="s">
        <v>21</v>
      </c>
      <c r="D596" s="38" t="s">
        <v>22</v>
      </c>
      <c r="E596" s="39" t="s">
        <v>23</v>
      </c>
      <c r="F596" s="40" t="s">
        <v>24</v>
      </c>
      <c r="G596" s="36" t="s">
        <v>25</v>
      </c>
      <c r="H596" s="41" t="s">
        <v>26</v>
      </c>
      <c r="I596" s="40" t="s">
        <v>27</v>
      </c>
      <c r="J596" s="41" t="s">
        <v>28</v>
      </c>
      <c r="K596" s="66" t="s">
        <v>29</v>
      </c>
      <c r="L596" s="41" t="s">
        <v>30</v>
      </c>
      <c r="M596" s="66" t="s">
        <v>31</v>
      </c>
      <c r="N596" s="41" t="s">
        <v>32</v>
      </c>
      <c r="O596" s="66" t="s">
        <v>33</v>
      </c>
      <c r="P596" s="41" t="s">
        <v>34</v>
      </c>
      <c r="Q596" s="67" t="s">
        <v>35</v>
      </c>
      <c r="S596" s="32">
        <f t="shared" si="18"/>
        <v>0</v>
      </c>
      <c r="T596" s="32">
        <f t="shared" si="19"/>
        <v>0</v>
      </c>
    </row>
    <row r="597" spans="1:21" ht="14.4" x14ac:dyDescent="0.3">
      <c r="A597" s="44">
        <v>1</v>
      </c>
      <c r="B597" s="45" t="s">
        <v>749</v>
      </c>
      <c r="C597" s="46" t="s">
        <v>560</v>
      </c>
      <c r="D597" s="47" t="s">
        <v>750</v>
      </c>
      <c r="E597" s="87">
        <v>46544</v>
      </c>
      <c r="F597" s="49">
        <v>145420</v>
      </c>
      <c r="G597" s="45" t="s">
        <v>41</v>
      </c>
      <c r="H597" s="50">
        <v>0</v>
      </c>
      <c r="I597" s="49">
        <f>BHP[[#This Row],[qtySaldoAwalSem1]]*BHP[[#This Row],[hargaSatuan]]</f>
        <v>0</v>
      </c>
      <c r="J597" s="50">
        <v>500</v>
      </c>
      <c r="K597" s="51">
        <f>BHP[[#This Row],[qtyTerima2025]]*BHP[[#This Row],[hargaSatuan]]</f>
        <v>72710000</v>
      </c>
      <c r="L597" s="50">
        <v>500</v>
      </c>
      <c r="M597" s="51">
        <f>BHP[[#This Row],[qtyDist2025]]*BHP[[#This Row],[hargaSatuan]]</f>
        <v>72710000</v>
      </c>
      <c r="N597" s="50">
        <v>0</v>
      </c>
      <c r="O597" s="51">
        <f>BHP[[#This Row],[qtyEd2025]]*BHP[[#This Row],[hargaSatuan]]</f>
        <v>0</v>
      </c>
      <c r="P597" s="50">
        <f>BHP[[#This Row],[qtySaldoAwalSem1]]+BHP[[#This Row],[qtyTerima2025]]-(BHP[[#This Row],[qtyDist2025]]+BHP[[#This Row],[qtyEd2025]])</f>
        <v>0</v>
      </c>
      <c r="Q597" s="52">
        <f>BHP[[#This Row],[qtySaldoAkhir2025]]*BHP[[#This Row],[hargaSatuan]]</f>
        <v>0</v>
      </c>
      <c r="S597" s="32">
        <f t="shared" si="18"/>
        <v>0</v>
      </c>
      <c r="T597" s="32">
        <f t="shared" si="19"/>
        <v>0</v>
      </c>
    </row>
    <row r="598" spans="1:21" ht="14.4" x14ac:dyDescent="0.3">
      <c r="A598" s="44">
        <v>2</v>
      </c>
      <c r="B598" s="45" t="s">
        <v>751</v>
      </c>
      <c r="C598" s="46" t="s">
        <v>752</v>
      </c>
      <c r="D598" s="47" t="s">
        <v>753</v>
      </c>
      <c r="E598" s="87">
        <v>47514</v>
      </c>
      <c r="F598" s="49">
        <v>1699</v>
      </c>
      <c r="G598" s="45" t="s">
        <v>40</v>
      </c>
      <c r="H598" s="50">
        <v>0</v>
      </c>
      <c r="I598" s="49">
        <f>BHP[[#This Row],[qtySaldoAwalSem1]]*BHP[[#This Row],[hargaSatuan]]</f>
        <v>0</v>
      </c>
      <c r="J598" s="50">
        <v>1526</v>
      </c>
      <c r="K598" s="51">
        <f>BHP[[#This Row],[qtyTerima2025]]*BHP[[#This Row],[hargaSatuan]]</f>
        <v>2592674</v>
      </c>
      <c r="L598" s="50">
        <v>1526</v>
      </c>
      <c r="M598" s="51">
        <f>BHP[[#This Row],[qtyDist2025]]*BHP[[#This Row],[hargaSatuan]]</f>
        <v>2592674</v>
      </c>
      <c r="N598" s="50">
        <v>0</v>
      </c>
      <c r="O598" s="51">
        <v>0</v>
      </c>
      <c r="P598" s="50">
        <f>BHP[[#This Row],[qtySaldoAwalSem1]]+BHP[[#This Row],[qtyTerima2025]]-(BHP[[#This Row],[qtyDist2025]]+BHP[[#This Row],[qtyEd2025]])</f>
        <v>0</v>
      </c>
      <c r="Q598" s="52">
        <f>BHP[[#This Row],[qtySaldoAkhir2025]]*BHP[[#This Row],[hargaSatuan]]</f>
        <v>0</v>
      </c>
      <c r="S598" s="32">
        <f t="shared" si="18"/>
        <v>0</v>
      </c>
      <c r="T598" s="32">
        <f t="shared" si="19"/>
        <v>0</v>
      </c>
    </row>
    <row r="599" spans="1:21" ht="28.8" x14ac:dyDescent="0.3">
      <c r="A599" s="44">
        <v>3</v>
      </c>
      <c r="B599" s="45" t="s">
        <v>754</v>
      </c>
      <c r="C599" s="46" t="s">
        <v>755</v>
      </c>
      <c r="D599" s="47" t="s">
        <v>756</v>
      </c>
      <c r="E599" s="87">
        <v>47484</v>
      </c>
      <c r="F599" s="49">
        <v>1687</v>
      </c>
      <c r="G599" s="45" t="s">
        <v>40</v>
      </c>
      <c r="H599" s="50">
        <v>0</v>
      </c>
      <c r="I599" s="49">
        <f>BHP[[#This Row],[qtySaldoAwalSem1]]*BHP[[#This Row],[hargaSatuan]]</f>
        <v>0</v>
      </c>
      <c r="J599" s="50">
        <v>2100</v>
      </c>
      <c r="K599" s="51">
        <f>BHP[[#This Row],[qtyTerima2025]]*BHP[[#This Row],[hargaSatuan]]</f>
        <v>3542700</v>
      </c>
      <c r="L599" s="50">
        <v>2100</v>
      </c>
      <c r="M599" s="51">
        <f>BHP[[#This Row],[qtyDist2025]]*BHP[[#This Row],[hargaSatuan]]</f>
        <v>3542700</v>
      </c>
      <c r="N599" s="50">
        <v>0</v>
      </c>
      <c r="O599" s="51">
        <v>0</v>
      </c>
      <c r="P599" s="50">
        <f>BHP[[#This Row],[qtySaldoAwalSem1]]+BHP[[#This Row],[qtyTerima2025]]-(BHP[[#This Row],[qtyDist2025]]+BHP[[#This Row],[qtyEd2025]])</f>
        <v>0</v>
      </c>
      <c r="Q599" s="52">
        <f>BHP[[#This Row],[qtySaldoAkhir2025]]*BHP[[#This Row],[hargaSatuan]]</f>
        <v>0</v>
      </c>
      <c r="S599" s="32">
        <f t="shared" si="18"/>
        <v>0</v>
      </c>
      <c r="T599" s="32">
        <f t="shared" si="19"/>
        <v>0</v>
      </c>
    </row>
    <row r="600" spans="1:21" ht="28.8" x14ac:dyDescent="0.3">
      <c r="A600" s="44">
        <v>4</v>
      </c>
      <c r="B600" s="45" t="s">
        <v>754</v>
      </c>
      <c r="C600" s="46" t="s">
        <v>755</v>
      </c>
      <c r="D600" s="47" t="s">
        <v>757</v>
      </c>
      <c r="E600" s="48">
        <v>47515</v>
      </c>
      <c r="F600" s="49">
        <v>1687</v>
      </c>
      <c r="G600" s="45" t="s">
        <v>40</v>
      </c>
      <c r="H600" s="50">
        <v>0</v>
      </c>
      <c r="I600" s="49">
        <f>BHP[[#This Row],[qtySaldoAwalSem1]]*BHP[[#This Row],[hargaSatuan]]</f>
        <v>0</v>
      </c>
      <c r="J600" s="50">
        <v>500</v>
      </c>
      <c r="K600" s="51">
        <f>BHP[[#This Row],[qtyTerima2025]]*BHP[[#This Row],[hargaSatuan]]</f>
        <v>843500</v>
      </c>
      <c r="L600" s="50">
        <v>300</v>
      </c>
      <c r="M600" s="51">
        <f>BHP[[#This Row],[qtyDist2025]]*BHP[[#This Row],[hargaSatuan]]</f>
        <v>506100</v>
      </c>
      <c r="N600" s="50">
        <v>0</v>
      </c>
      <c r="O600" s="51">
        <v>0</v>
      </c>
      <c r="P600" s="50">
        <f>BHP[[#This Row],[qtySaldoAwalSem1]]+BHP[[#This Row],[qtyTerima2025]]-(BHP[[#This Row],[qtyDist2025]]+BHP[[#This Row],[qtyEd2025]])</f>
        <v>200</v>
      </c>
      <c r="Q600" s="52">
        <f>BHP[[#This Row],[qtySaldoAkhir2025]]*BHP[[#This Row],[hargaSatuan]]</f>
        <v>337400</v>
      </c>
      <c r="S600" s="32">
        <f t="shared" si="18"/>
        <v>337400</v>
      </c>
      <c r="T600" s="32">
        <f t="shared" si="19"/>
        <v>0</v>
      </c>
    </row>
    <row r="601" spans="1:21" ht="28.8" x14ac:dyDescent="0.3">
      <c r="A601" s="44">
        <v>5</v>
      </c>
      <c r="B601" s="45" t="s">
        <v>754</v>
      </c>
      <c r="C601" s="46" t="s">
        <v>752</v>
      </c>
      <c r="D601" s="47" t="s">
        <v>758</v>
      </c>
      <c r="E601" s="87">
        <v>47119</v>
      </c>
      <c r="F601" s="49">
        <v>1699</v>
      </c>
      <c r="G601" s="45" t="s">
        <v>40</v>
      </c>
      <c r="H601" s="50">
        <v>900</v>
      </c>
      <c r="I601" s="49">
        <f>BHP[[#This Row],[qtySaldoAwalSem1]]*BHP[[#This Row],[hargaSatuan]]</f>
        <v>1529100</v>
      </c>
      <c r="J601" s="50">
        <v>2200</v>
      </c>
      <c r="K601" s="51">
        <f>BHP[[#This Row],[qtyTerima2025]]*BHP[[#This Row],[hargaSatuan]]</f>
        <v>3737800</v>
      </c>
      <c r="L601" s="50">
        <v>3100</v>
      </c>
      <c r="M601" s="51">
        <f>BHP[[#This Row],[qtyDist2025]]*BHP[[#This Row],[hargaSatuan]]</f>
        <v>5266900</v>
      </c>
      <c r="N601" s="50">
        <v>0</v>
      </c>
      <c r="O601" s="51">
        <f>BHP[[#This Row],[qtyEd2025]]*BHP[[#This Row],[hargaSatuan]]</f>
        <v>0</v>
      </c>
      <c r="P601" s="50">
        <f>BHP[[#This Row],[qtySaldoAwalSem1]]+BHP[[#This Row],[qtyTerima2025]]-(BHP[[#This Row],[qtyDist2025]]+BHP[[#This Row],[qtyEd2025]])</f>
        <v>0</v>
      </c>
      <c r="Q601" s="52">
        <f>BHP[[#This Row],[qtySaldoAkhir2025]]*BHP[[#This Row],[hargaSatuan]]</f>
        <v>0</v>
      </c>
      <c r="S601" s="32">
        <f t="shared" si="18"/>
        <v>0</v>
      </c>
      <c r="T601" s="32">
        <f t="shared" si="19"/>
        <v>0</v>
      </c>
    </row>
    <row r="602" spans="1:21" ht="28.8" x14ac:dyDescent="0.3">
      <c r="A602" s="44">
        <v>6</v>
      </c>
      <c r="B602" s="45" t="s">
        <v>759</v>
      </c>
      <c r="C602" s="46" t="s">
        <v>752</v>
      </c>
      <c r="D602" s="47" t="s">
        <v>760</v>
      </c>
      <c r="E602" s="48">
        <v>46357</v>
      </c>
      <c r="F602" s="49">
        <v>1255</v>
      </c>
      <c r="G602" s="45" t="s">
        <v>40</v>
      </c>
      <c r="H602" s="50">
        <v>500</v>
      </c>
      <c r="I602" s="49">
        <f>BHP[[#This Row],[qtySaldoAwalSem1]]*BHP[[#This Row],[hargaSatuan]]</f>
        <v>627500</v>
      </c>
      <c r="J602" s="50">
        <v>0</v>
      </c>
      <c r="K602" s="51">
        <f>BHP[[#This Row],[qtyTerima2025]]*BHP[[#This Row],[hargaSatuan]]</f>
        <v>0</v>
      </c>
      <c r="L602" s="50">
        <v>500</v>
      </c>
      <c r="M602" s="51">
        <f>BHP[[#This Row],[qtyDist2025]]*BHP[[#This Row],[hargaSatuan]]</f>
        <v>627500</v>
      </c>
      <c r="N602" s="50">
        <v>0</v>
      </c>
      <c r="O602" s="51">
        <f>BHP[[#This Row],[qtyEd2025]]*BHP[[#This Row],[hargaSatuan]]</f>
        <v>0</v>
      </c>
      <c r="P602" s="50">
        <f>BHP[[#This Row],[qtySaldoAwalSem1]]+BHP[[#This Row],[qtyTerima2025]]-(BHP[[#This Row],[qtyDist2025]]+BHP[[#This Row],[qtyEd2025]])</f>
        <v>0</v>
      </c>
      <c r="Q602" s="52">
        <f>BHP[[#This Row],[qtySaldoAkhir2025]]*BHP[[#This Row],[hargaSatuan]]</f>
        <v>0</v>
      </c>
      <c r="S602" s="32">
        <f t="shared" si="18"/>
        <v>0</v>
      </c>
      <c r="T602" s="32">
        <f t="shared" si="19"/>
        <v>0</v>
      </c>
    </row>
    <row r="603" spans="1:21" ht="14.4" x14ac:dyDescent="0.3">
      <c r="A603" s="44">
        <v>7</v>
      </c>
      <c r="B603" s="45" t="s">
        <v>761</v>
      </c>
      <c r="C603" s="46" t="s">
        <v>752</v>
      </c>
      <c r="D603" s="47" t="s">
        <v>762</v>
      </c>
      <c r="E603" s="87">
        <v>47484</v>
      </c>
      <c r="F603" s="49">
        <v>1155</v>
      </c>
      <c r="G603" s="45" t="s">
        <v>40</v>
      </c>
      <c r="H603" s="50">
        <v>0</v>
      </c>
      <c r="I603" s="49">
        <f>BHP[[#This Row],[qtySaldoAwalSem1]]*BHP[[#This Row],[hargaSatuan]]</f>
        <v>0</v>
      </c>
      <c r="J603" s="50">
        <v>1600</v>
      </c>
      <c r="K603" s="51">
        <f>BHP[[#This Row],[qtyTerima2025]]*BHP[[#This Row],[hargaSatuan]]</f>
        <v>1848000</v>
      </c>
      <c r="L603" s="50">
        <v>1600</v>
      </c>
      <c r="M603" s="51">
        <f>BHP[[#This Row],[qtyDist2025]]*BHP[[#This Row],[hargaSatuan]]</f>
        <v>1848000</v>
      </c>
      <c r="N603" s="50">
        <v>0</v>
      </c>
      <c r="O603" s="51">
        <v>0</v>
      </c>
      <c r="P603" s="50">
        <f>BHP[[#This Row],[qtySaldoAwalSem1]]+BHP[[#This Row],[qtyTerima2025]]-(BHP[[#This Row],[qtyDist2025]]+BHP[[#This Row],[qtyEd2025]])</f>
        <v>0</v>
      </c>
      <c r="Q603" s="52">
        <f>BHP[[#This Row],[qtySaldoAkhir2025]]*BHP[[#This Row],[hargaSatuan]]</f>
        <v>0</v>
      </c>
      <c r="S603" s="32">
        <f t="shared" si="18"/>
        <v>0</v>
      </c>
      <c r="T603" s="32">
        <f t="shared" si="19"/>
        <v>0</v>
      </c>
    </row>
    <row r="604" spans="1:21" ht="14.4" x14ac:dyDescent="0.3">
      <c r="A604" s="44">
        <v>8</v>
      </c>
      <c r="B604" s="45" t="s">
        <v>761</v>
      </c>
      <c r="C604" s="46" t="s">
        <v>752</v>
      </c>
      <c r="D604" s="47" t="s">
        <v>763</v>
      </c>
      <c r="E604" s="87">
        <v>47484</v>
      </c>
      <c r="F604" s="49">
        <v>1155</v>
      </c>
      <c r="G604" s="45" t="s">
        <v>40</v>
      </c>
      <c r="H604" s="50">
        <v>0</v>
      </c>
      <c r="I604" s="49">
        <f>BHP[[#This Row],[qtySaldoAwalSem1]]*BHP[[#This Row],[hargaSatuan]]</f>
        <v>0</v>
      </c>
      <c r="J604" s="50">
        <v>9600</v>
      </c>
      <c r="K604" s="51">
        <f>BHP[[#This Row],[qtyTerima2025]]*BHP[[#This Row],[hargaSatuan]]</f>
        <v>11088000</v>
      </c>
      <c r="L604" s="50">
        <v>9600</v>
      </c>
      <c r="M604" s="51">
        <f>BHP[[#This Row],[qtyDist2025]]*BHP[[#This Row],[hargaSatuan]]</f>
        <v>11088000</v>
      </c>
      <c r="N604" s="50">
        <v>0</v>
      </c>
      <c r="O604" s="51">
        <v>0</v>
      </c>
      <c r="P604" s="50">
        <f>BHP[[#This Row],[qtySaldoAwalSem1]]+BHP[[#This Row],[qtyTerima2025]]-(BHP[[#This Row],[qtyDist2025]]+BHP[[#This Row],[qtyEd2025]])</f>
        <v>0</v>
      </c>
      <c r="Q604" s="52">
        <f>BHP[[#This Row],[qtySaldoAkhir2025]]*BHP[[#This Row],[hargaSatuan]]</f>
        <v>0</v>
      </c>
      <c r="S604" s="32">
        <f t="shared" si="18"/>
        <v>0</v>
      </c>
      <c r="T604" s="32">
        <f t="shared" si="19"/>
        <v>0</v>
      </c>
    </row>
    <row r="605" spans="1:21" ht="28.8" x14ac:dyDescent="0.3">
      <c r="A605" s="44">
        <v>9</v>
      </c>
      <c r="B605" s="45" t="s">
        <v>764</v>
      </c>
      <c r="C605" s="46" t="s">
        <v>755</v>
      </c>
      <c r="D605" s="47" t="s">
        <v>765</v>
      </c>
      <c r="E605" s="48">
        <v>47491</v>
      </c>
      <c r="F605" s="49">
        <v>1155</v>
      </c>
      <c r="G605" s="45" t="s">
        <v>40</v>
      </c>
      <c r="H605" s="50">
        <v>0</v>
      </c>
      <c r="I605" s="49">
        <f>BHP[[#This Row],[qtySaldoAwalSem1]]*BHP[[#This Row],[hargaSatuan]]</f>
        <v>0</v>
      </c>
      <c r="J605" s="50">
        <v>12800</v>
      </c>
      <c r="K605" s="51">
        <f>BHP[[#This Row],[qtyTerima2025]]*BHP[[#This Row],[hargaSatuan]]</f>
        <v>14784000</v>
      </c>
      <c r="L605" s="50">
        <v>12800</v>
      </c>
      <c r="M605" s="51">
        <f>BHP[[#This Row],[qtyDist2025]]*BHP[[#This Row],[hargaSatuan]]</f>
        <v>14784000</v>
      </c>
      <c r="N605" s="50">
        <v>0</v>
      </c>
      <c r="O605" s="51">
        <v>0</v>
      </c>
      <c r="P605" s="50">
        <f>BHP[[#This Row],[qtySaldoAwalSem1]]+BHP[[#This Row],[qtyTerima2025]]-(BHP[[#This Row],[qtyDist2025]]+BHP[[#This Row],[qtyEd2025]])</f>
        <v>0</v>
      </c>
      <c r="Q605" s="52">
        <f>BHP[[#This Row],[qtySaldoAkhir2025]]*BHP[[#This Row],[hargaSatuan]]</f>
        <v>0</v>
      </c>
      <c r="S605" s="32">
        <f t="shared" si="18"/>
        <v>0</v>
      </c>
      <c r="T605" s="32">
        <f t="shared" si="19"/>
        <v>0</v>
      </c>
    </row>
    <row r="606" spans="1:21" ht="28.8" x14ac:dyDescent="0.3">
      <c r="A606" s="44">
        <v>10</v>
      </c>
      <c r="B606" s="45" t="s">
        <v>764</v>
      </c>
      <c r="C606" s="46" t="s">
        <v>755</v>
      </c>
      <c r="D606" s="47" t="s">
        <v>766</v>
      </c>
      <c r="E606" s="87">
        <v>47515</v>
      </c>
      <c r="F606" s="49">
        <v>1155</v>
      </c>
      <c r="G606" s="45" t="s">
        <v>40</v>
      </c>
      <c r="H606" s="50">
        <v>0</v>
      </c>
      <c r="I606" s="49">
        <f>BHP[[#This Row],[qtySaldoAwalSem1]]*BHP[[#This Row],[hargaSatuan]]</f>
        <v>0</v>
      </c>
      <c r="J606" s="50">
        <v>4800</v>
      </c>
      <c r="K606" s="51">
        <f>BHP[[#This Row],[qtyTerima2025]]*BHP[[#This Row],[hargaSatuan]]</f>
        <v>5544000</v>
      </c>
      <c r="L606" s="50">
        <v>4800</v>
      </c>
      <c r="M606" s="51">
        <f>BHP[[#This Row],[qtyDist2025]]*BHP[[#This Row],[hargaSatuan]]</f>
        <v>5544000</v>
      </c>
      <c r="N606" s="50">
        <v>0</v>
      </c>
      <c r="O606" s="51">
        <v>0</v>
      </c>
      <c r="P606" s="50">
        <f>BHP[[#This Row],[qtySaldoAwalSem1]]+BHP[[#This Row],[qtyTerima2025]]-(BHP[[#This Row],[qtyDist2025]]+BHP[[#This Row],[qtyEd2025]])</f>
        <v>0</v>
      </c>
      <c r="Q606" s="52">
        <f>BHP[[#This Row],[qtySaldoAkhir2025]]*BHP[[#This Row],[hargaSatuan]]</f>
        <v>0</v>
      </c>
      <c r="S606" s="32">
        <f t="shared" si="18"/>
        <v>0</v>
      </c>
      <c r="T606" s="32">
        <f t="shared" si="19"/>
        <v>0</v>
      </c>
    </row>
    <row r="607" spans="1:21" ht="28.8" x14ac:dyDescent="0.3">
      <c r="A607" s="44">
        <v>11</v>
      </c>
      <c r="B607" s="45" t="s">
        <v>764</v>
      </c>
      <c r="C607" s="46" t="s">
        <v>755</v>
      </c>
      <c r="D607" s="47" t="s">
        <v>767</v>
      </c>
      <c r="E607" s="87">
        <v>47513</v>
      </c>
      <c r="F607" s="49">
        <v>1155</v>
      </c>
      <c r="G607" s="45" t="s">
        <v>40</v>
      </c>
      <c r="H607" s="50">
        <v>0</v>
      </c>
      <c r="I607" s="49">
        <f>BHP[[#This Row],[qtySaldoAwalSem1]]*BHP[[#This Row],[hargaSatuan]]</f>
        <v>0</v>
      </c>
      <c r="J607" s="50">
        <v>3200</v>
      </c>
      <c r="K607" s="51">
        <f>BHP[[#This Row],[qtyTerima2025]]*BHP[[#This Row],[hargaSatuan]]</f>
        <v>3696000</v>
      </c>
      <c r="L607" s="50">
        <v>0</v>
      </c>
      <c r="M607" s="51">
        <f>BHP[[#This Row],[qtyDist2025]]*BHP[[#This Row],[hargaSatuan]]</f>
        <v>0</v>
      </c>
      <c r="N607" s="50">
        <v>0</v>
      </c>
      <c r="O607" s="51">
        <v>0</v>
      </c>
      <c r="P607" s="50">
        <f>BHP[[#This Row],[qtySaldoAwalSem1]]+BHP[[#This Row],[qtyTerima2025]]-(BHP[[#This Row],[qtyDist2025]]+BHP[[#This Row],[qtyEd2025]])</f>
        <v>3200</v>
      </c>
      <c r="Q607" s="52">
        <f>BHP[[#This Row],[qtySaldoAkhir2025]]*BHP[[#This Row],[hargaSatuan]]</f>
        <v>3696000</v>
      </c>
      <c r="S607" s="32">
        <f t="shared" si="18"/>
        <v>3696000</v>
      </c>
      <c r="T607" s="32">
        <f t="shared" si="19"/>
        <v>0</v>
      </c>
    </row>
    <row r="608" spans="1:21" ht="14.4" x14ac:dyDescent="0.3">
      <c r="A608" s="44">
        <v>12</v>
      </c>
      <c r="B608" s="45" t="s">
        <v>761</v>
      </c>
      <c r="C608" s="46" t="s">
        <v>752</v>
      </c>
      <c r="D608" s="47" t="s">
        <v>767</v>
      </c>
      <c r="E608" s="87">
        <v>47513</v>
      </c>
      <c r="F608" s="49">
        <v>1155</v>
      </c>
      <c r="G608" s="45" t="s">
        <v>40</v>
      </c>
      <c r="H608" s="50">
        <v>0</v>
      </c>
      <c r="I608" s="49">
        <f>BHP[[#This Row],[qtySaldoAwalSem1]]*BHP[[#This Row],[hargaSatuan]]</f>
        <v>0</v>
      </c>
      <c r="J608" s="50">
        <v>6400</v>
      </c>
      <c r="K608" s="51">
        <f>BHP[[#This Row],[qtyTerima2025]]*BHP[[#This Row],[hargaSatuan]]</f>
        <v>7392000</v>
      </c>
      <c r="L608" s="50">
        <v>6400</v>
      </c>
      <c r="M608" s="51">
        <f>BHP[[#This Row],[qtyDist2025]]*BHP[[#This Row],[hargaSatuan]]</f>
        <v>7392000</v>
      </c>
      <c r="N608" s="50">
        <v>0</v>
      </c>
      <c r="O608" s="51">
        <v>0</v>
      </c>
      <c r="P608" s="50">
        <f>BHP[[#This Row],[qtySaldoAwalSem1]]+BHP[[#This Row],[qtyTerima2025]]-(BHP[[#This Row],[qtyDist2025]]+BHP[[#This Row],[qtyEd2025]])</f>
        <v>0</v>
      </c>
      <c r="Q608" s="52">
        <f>BHP[[#This Row],[qtySaldoAkhir2025]]*BHP[[#This Row],[hargaSatuan]]</f>
        <v>0</v>
      </c>
      <c r="S608" s="32">
        <f t="shared" si="18"/>
        <v>0</v>
      </c>
      <c r="T608" s="32">
        <f t="shared" si="19"/>
        <v>0</v>
      </c>
    </row>
    <row r="609" spans="1:20" ht="28.8" x14ac:dyDescent="0.3">
      <c r="A609" s="44">
        <v>13</v>
      </c>
      <c r="B609" s="45" t="s">
        <v>764</v>
      </c>
      <c r="C609" s="46" t="s">
        <v>752</v>
      </c>
      <c r="D609" s="47">
        <v>22080302</v>
      </c>
      <c r="E609" s="87">
        <v>46419</v>
      </c>
      <c r="F609" s="49">
        <v>1190</v>
      </c>
      <c r="G609" s="45" t="s">
        <v>40</v>
      </c>
      <c r="H609" s="50">
        <v>0</v>
      </c>
      <c r="I609" s="49">
        <f>BHP[[#This Row],[qtySaldoAwalSem1]]*BHP[[#This Row],[hargaSatuan]]</f>
        <v>0</v>
      </c>
      <c r="J609" s="50">
        <v>18000</v>
      </c>
      <c r="K609" s="51">
        <f>BHP[[#This Row],[qtyTerima2025]]*BHP[[#This Row],[hargaSatuan]]</f>
        <v>21420000</v>
      </c>
      <c r="L609" s="50">
        <v>18000</v>
      </c>
      <c r="M609" s="51">
        <f>BHP[[#This Row],[qtyDist2025]]*BHP[[#This Row],[hargaSatuan]]</f>
        <v>21420000</v>
      </c>
      <c r="N609" s="50">
        <v>0</v>
      </c>
      <c r="O609" s="51">
        <v>0</v>
      </c>
      <c r="P609" s="50">
        <f>BHP[[#This Row],[qtySaldoAwalSem1]]+BHP[[#This Row],[qtyTerima2025]]-(BHP[[#This Row],[qtyDist2025]]+BHP[[#This Row],[qtyEd2025]])</f>
        <v>0</v>
      </c>
      <c r="Q609" s="52">
        <f>BHP[[#This Row],[qtySaldoAkhir2025]]*BHP[[#This Row],[hargaSatuan]]</f>
        <v>0</v>
      </c>
      <c r="S609" s="32">
        <f t="shared" si="18"/>
        <v>0</v>
      </c>
      <c r="T609" s="32">
        <f t="shared" si="19"/>
        <v>0</v>
      </c>
    </row>
    <row r="610" spans="1:20" ht="14.4" x14ac:dyDescent="0.3">
      <c r="A610" s="44">
        <v>14</v>
      </c>
      <c r="B610" s="45" t="s">
        <v>768</v>
      </c>
      <c r="C610" s="46" t="s">
        <v>752</v>
      </c>
      <c r="D610" s="47">
        <v>6092388</v>
      </c>
      <c r="E610" s="48">
        <v>46966</v>
      </c>
      <c r="F610" s="49">
        <v>1011.4782608695652</v>
      </c>
      <c r="G610" s="45" t="s">
        <v>17</v>
      </c>
      <c r="H610" s="50">
        <v>3900</v>
      </c>
      <c r="I610" s="49">
        <f>BHP[[#This Row],[qtySaldoAwalSem1]]*BHP[[#This Row],[hargaSatuan]]</f>
        <v>3944765.2173913047</v>
      </c>
      <c r="J610" s="50">
        <v>0</v>
      </c>
      <c r="K610" s="51">
        <f>BHP[[#This Row],[qtyTerima2025]]*BHP[[#This Row],[hargaSatuan]]</f>
        <v>0</v>
      </c>
      <c r="L610" s="50">
        <v>3900</v>
      </c>
      <c r="M610" s="51">
        <f>BHP[[#This Row],[qtyDist2025]]*BHP[[#This Row],[hargaSatuan]]</f>
        <v>3944765.2173913047</v>
      </c>
      <c r="N610" s="50">
        <v>0</v>
      </c>
      <c r="O610" s="51">
        <f>BHP[[#This Row],[qtyEd2025]]*BHP[[#This Row],[hargaSatuan]]</f>
        <v>0</v>
      </c>
      <c r="P610" s="50">
        <f>BHP[[#This Row],[qtySaldoAwalSem1]]+BHP[[#This Row],[qtyTerima2025]]-(BHP[[#This Row],[qtyDist2025]]+BHP[[#This Row],[qtyEd2025]])</f>
        <v>0</v>
      </c>
      <c r="Q610" s="52">
        <f>BHP[[#This Row],[qtySaldoAkhir2025]]*BHP[[#This Row],[hargaSatuan]]</f>
        <v>0</v>
      </c>
      <c r="S610" s="32">
        <f t="shared" si="18"/>
        <v>0</v>
      </c>
      <c r="T610" s="32">
        <f t="shared" si="19"/>
        <v>0</v>
      </c>
    </row>
    <row r="611" spans="1:20" ht="14.4" x14ac:dyDescent="0.3">
      <c r="A611" s="44">
        <v>15</v>
      </c>
      <c r="B611" s="45" t="s">
        <v>768</v>
      </c>
      <c r="C611" s="46" t="s">
        <v>752</v>
      </c>
      <c r="D611" s="47">
        <v>10042588</v>
      </c>
      <c r="E611" s="87">
        <v>47572</v>
      </c>
      <c r="F611" s="49">
        <v>664.13</v>
      </c>
      <c r="G611" s="45" t="s">
        <v>41</v>
      </c>
      <c r="H611" s="50">
        <v>0</v>
      </c>
      <c r="I611" s="49">
        <f>BHP[[#This Row],[qtySaldoAwalSem1]]*BHP[[#This Row],[hargaSatuan]]</f>
        <v>0</v>
      </c>
      <c r="J611" s="50">
        <v>1600</v>
      </c>
      <c r="K611" s="51">
        <f>BHP[[#This Row],[qtyTerima2025]]*BHP[[#This Row],[hargaSatuan]]</f>
        <v>1062608</v>
      </c>
      <c r="L611" s="50">
        <v>1600</v>
      </c>
      <c r="M611" s="51">
        <f>BHP[[#This Row],[qtyDist2025]]*BHP[[#This Row],[hargaSatuan]]</f>
        <v>1062608</v>
      </c>
      <c r="N611" s="50">
        <v>0</v>
      </c>
      <c r="O611" s="51">
        <v>0</v>
      </c>
      <c r="P611" s="50">
        <f>BHP[[#This Row],[qtySaldoAwalSem1]]+BHP[[#This Row],[qtyTerima2025]]-(BHP[[#This Row],[qtyDist2025]]+BHP[[#This Row],[qtyEd2025]])</f>
        <v>0</v>
      </c>
      <c r="Q611" s="52">
        <f>BHP[[#This Row],[qtySaldoAkhir2025]]*BHP[[#This Row],[hargaSatuan]]</f>
        <v>0</v>
      </c>
      <c r="S611" s="32">
        <f t="shared" si="18"/>
        <v>0</v>
      </c>
      <c r="T611" s="32">
        <f t="shared" si="19"/>
        <v>0</v>
      </c>
    </row>
    <row r="612" spans="1:20" ht="14.4" x14ac:dyDescent="0.3">
      <c r="A612" s="44">
        <v>16</v>
      </c>
      <c r="B612" s="45" t="s">
        <v>768</v>
      </c>
      <c r="C612" s="46" t="s">
        <v>752</v>
      </c>
      <c r="D612" s="47">
        <v>21052588</v>
      </c>
      <c r="E612" s="87">
        <v>47603</v>
      </c>
      <c r="F612" s="49">
        <v>664.13</v>
      </c>
      <c r="G612" s="45" t="s">
        <v>41</v>
      </c>
      <c r="H612" s="50">
        <v>0</v>
      </c>
      <c r="I612" s="49">
        <f>BHP[[#This Row],[qtySaldoAwalSem1]]*BHP[[#This Row],[hargaSatuan]]</f>
        <v>0</v>
      </c>
      <c r="J612" s="50">
        <v>16900</v>
      </c>
      <c r="K612" s="51">
        <f>BHP[[#This Row],[qtyTerima2025]]*BHP[[#This Row],[hargaSatuan]]</f>
        <v>11223797</v>
      </c>
      <c r="L612" s="50">
        <v>12200</v>
      </c>
      <c r="M612" s="51">
        <f>BHP[[#This Row],[qtyDist2025]]*BHP[[#This Row],[hargaSatuan]]</f>
        <v>8102386</v>
      </c>
      <c r="N612" s="50">
        <v>0</v>
      </c>
      <c r="O612" s="51">
        <v>0</v>
      </c>
      <c r="P612" s="50">
        <f>BHP[[#This Row],[qtySaldoAwalSem1]]+BHP[[#This Row],[qtyTerima2025]]-(BHP[[#This Row],[qtyDist2025]]+BHP[[#This Row],[qtyEd2025]])</f>
        <v>4700</v>
      </c>
      <c r="Q612" s="52">
        <f>BHP[[#This Row],[qtySaldoAkhir2025]]*BHP[[#This Row],[hargaSatuan]]</f>
        <v>3121411</v>
      </c>
      <c r="S612" s="32">
        <f t="shared" si="18"/>
        <v>3121411</v>
      </c>
      <c r="T612" s="32">
        <f t="shared" si="19"/>
        <v>0</v>
      </c>
    </row>
    <row r="613" spans="1:20" ht="14.4" x14ac:dyDescent="0.3">
      <c r="A613" s="44">
        <v>17</v>
      </c>
      <c r="B613" s="45" t="s">
        <v>768</v>
      </c>
      <c r="C613" s="46" t="s">
        <v>752</v>
      </c>
      <c r="D613" s="47" t="s">
        <v>769</v>
      </c>
      <c r="E613" s="48"/>
      <c r="F613" s="49">
        <v>1000</v>
      </c>
      <c r="G613" s="45" t="s">
        <v>41</v>
      </c>
      <c r="H613" s="50">
        <v>0</v>
      </c>
      <c r="I613" s="49">
        <f>BHP[[#This Row],[qtySaldoAwalSem1]]*BHP[[#This Row],[hargaSatuan]]</f>
        <v>0</v>
      </c>
      <c r="J613" s="50">
        <v>26400</v>
      </c>
      <c r="K613" s="51">
        <f>BHP[[#This Row],[qtyTerima2025]]*BHP[[#This Row],[hargaSatuan]]</f>
        <v>26400000</v>
      </c>
      <c r="L613" s="50">
        <v>0</v>
      </c>
      <c r="M613" s="51">
        <f>BHP[[#This Row],[qtyDist2025]]*BHP[[#This Row],[hargaSatuan]]</f>
        <v>0</v>
      </c>
      <c r="N613" s="50">
        <v>0</v>
      </c>
      <c r="O613" s="51">
        <v>0</v>
      </c>
      <c r="P613" s="50">
        <f>BHP[[#This Row],[qtySaldoAwalSem1]]+BHP[[#This Row],[qtyTerima2025]]-(BHP[[#This Row],[qtyDist2025]]+BHP[[#This Row],[qtyEd2025]])</f>
        <v>26400</v>
      </c>
      <c r="Q613" s="52">
        <f>BHP[[#This Row],[qtySaldoAkhir2025]]*BHP[[#This Row],[hargaSatuan]]</f>
        <v>26400000</v>
      </c>
      <c r="S613" s="32">
        <f t="shared" si="18"/>
        <v>26400000</v>
      </c>
      <c r="T613" s="32">
        <f t="shared" si="19"/>
        <v>0</v>
      </c>
    </row>
    <row r="614" spans="1:20" ht="14.4" x14ac:dyDescent="0.3">
      <c r="A614" s="44">
        <v>18</v>
      </c>
      <c r="B614" s="45" t="s">
        <v>768</v>
      </c>
      <c r="C614" s="46" t="s">
        <v>752</v>
      </c>
      <c r="D614" s="47" t="s">
        <v>770</v>
      </c>
      <c r="E614" s="48"/>
      <c r="F614" s="49">
        <v>1000</v>
      </c>
      <c r="G614" s="45" t="s">
        <v>41</v>
      </c>
      <c r="H614" s="50">
        <v>0</v>
      </c>
      <c r="I614" s="49">
        <f>BHP[[#This Row],[qtySaldoAwalSem1]]*BHP[[#This Row],[hargaSatuan]]</f>
        <v>0</v>
      </c>
      <c r="J614" s="50">
        <v>23600</v>
      </c>
      <c r="K614" s="51">
        <f>BHP[[#This Row],[qtyTerima2025]]*BHP[[#This Row],[hargaSatuan]]</f>
        <v>23600000</v>
      </c>
      <c r="L614" s="50">
        <v>0</v>
      </c>
      <c r="M614" s="51">
        <f>BHP[[#This Row],[qtyDist2025]]*BHP[[#This Row],[hargaSatuan]]</f>
        <v>0</v>
      </c>
      <c r="N614" s="50">
        <v>0</v>
      </c>
      <c r="O614" s="51">
        <v>0</v>
      </c>
      <c r="P614" s="50">
        <f>BHP[[#This Row],[qtySaldoAwalSem1]]+BHP[[#This Row],[qtyTerima2025]]-(BHP[[#This Row],[qtyDist2025]]+BHP[[#This Row],[qtyEd2025]])</f>
        <v>23600</v>
      </c>
      <c r="Q614" s="52">
        <f>BHP[[#This Row],[qtySaldoAkhir2025]]*BHP[[#This Row],[hargaSatuan]]</f>
        <v>23600000</v>
      </c>
      <c r="S614" s="32">
        <f t="shared" si="18"/>
        <v>23600000</v>
      </c>
      <c r="T614" s="32">
        <f t="shared" si="19"/>
        <v>0</v>
      </c>
    </row>
    <row r="615" spans="1:20" ht="14.4" x14ac:dyDescent="0.3">
      <c r="A615" s="44">
        <v>19</v>
      </c>
      <c r="B615" s="45" t="s">
        <v>771</v>
      </c>
      <c r="C615" s="46" t="s">
        <v>752</v>
      </c>
      <c r="D615" s="47">
        <v>7122288</v>
      </c>
      <c r="E615" s="87">
        <v>46692</v>
      </c>
      <c r="F615" s="49">
        <v>1398</v>
      </c>
      <c r="G615" s="45" t="s">
        <v>17</v>
      </c>
      <c r="H615" s="50">
        <v>300</v>
      </c>
      <c r="I615" s="49">
        <f>BHP[[#This Row],[qtySaldoAwalSem1]]*BHP[[#This Row],[hargaSatuan]]</f>
        <v>419400</v>
      </c>
      <c r="J615" s="50">
        <v>0</v>
      </c>
      <c r="K615" s="51">
        <f>BHP[[#This Row],[qtyTerima2025]]*BHP[[#This Row],[hargaSatuan]]</f>
        <v>0</v>
      </c>
      <c r="L615" s="50">
        <v>300</v>
      </c>
      <c r="M615" s="51">
        <f>BHP[[#This Row],[qtyDist2025]]*BHP[[#This Row],[hargaSatuan]]</f>
        <v>419400</v>
      </c>
      <c r="N615" s="50">
        <v>0</v>
      </c>
      <c r="O615" s="51">
        <f>BHP[[#This Row],[qtyEd2025]]*BHP[[#This Row],[hargaSatuan]]</f>
        <v>0</v>
      </c>
      <c r="P615" s="50">
        <f>BHP[[#This Row],[qtySaldoAwalSem1]]+BHP[[#This Row],[qtyTerima2025]]-(BHP[[#This Row],[qtyDist2025]]+BHP[[#This Row],[qtyEd2025]])</f>
        <v>0</v>
      </c>
      <c r="Q615" s="52">
        <f>BHP[[#This Row],[qtySaldoAkhir2025]]*BHP[[#This Row],[hargaSatuan]]</f>
        <v>0</v>
      </c>
      <c r="S615" s="32">
        <f t="shared" si="18"/>
        <v>0</v>
      </c>
      <c r="T615" s="32">
        <f t="shared" si="19"/>
        <v>0</v>
      </c>
    </row>
    <row r="616" spans="1:20" ht="14.4" x14ac:dyDescent="0.3">
      <c r="A616" s="44">
        <v>20</v>
      </c>
      <c r="B616" s="45" t="s">
        <v>771</v>
      </c>
      <c r="C616" s="46" t="s">
        <v>752</v>
      </c>
      <c r="D616" s="47">
        <v>6082588</v>
      </c>
      <c r="E616" s="87">
        <v>47695</v>
      </c>
      <c r="F616" s="49">
        <v>992.24900000000002</v>
      </c>
      <c r="G616" s="45" t="s">
        <v>41</v>
      </c>
      <c r="H616" s="50">
        <v>0</v>
      </c>
      <c r="I616" s="49">
        <f>BHP[[#This Row],[qtySaldoAwalSem1]]*BHP[[#This Row],[hargaSatuan]]</f>
        <v>0</v>
      </c>
      <c r="J616" s="50">
        <v>2000</v>
      </c>
      <c r="K616" s="51">
        <f>BHP[[#This Row],[qtyTerima2025]]*BHP[[#This Row],[hargaSatuan]]</f>
        <v>1984498</v>
      </c>
      <c r="L616" s="50">
        <v>520</v>
      </c>
      <c r="M616" s="51">
        <f>BHP[[#This Row],[qtyDist2025]]*BHP[[#This Row],[hargaSatuan]]</f>
        <v>515969.48000000004</v>
      </c>
      <c r="N616" s="50">
        <v>0</v>
      </c>
      <c r="O616" s="51">
        <v>0</v>
      </c>
      <c r="P616" s="50">
        <f>BHP[[#This Row],[qtySaldoAwalSem1]]+BHP[[#This Row],[qtyTerima2025]]-(BHP[[#This Row],[qtyDist2025]]+BHP[[#This Row],[qtyEd2025]])</f>
        <v>1480</v>
      </c>
      <c r="Q616" s="52">
        <f>BHP[[#This Row],[qtySaldoAkhir2025]]*BHP[[#This Row],[hargaSatuan]]</f>
        <v>1468528.52</v>
      </c>
      <c r="S616" s="32">
        <f t="shared" si="18"/>
        <v>1468528.52</v>
      </c>
      <c r="T616" s="32">
        <f t="shared" si="19"/>
        <v>0</v>
      </c>
    </row>
    <row r="617" spans="1:20" ht="14.4" x14ac:dyDescent="0.3">
      <c r="A617" s="44">
        <v>21</v>
      </c>
      <c r="B617" s="45" t="s">
        <v>772</v>
      </c>
      <c r="C617" s="46" t="s">
        <v>752</v>
      </c>
      <c r="D617" s="47" t="s">
        <v>773</v>
      </c>
      <c r="E617" s="48">
        <v>46966</v>
      </c>
      <c r="F617" s="49">
        <v>920.2</v>
      </c>
      <c r="G617" s="88" t="s">
        <v>17</v>
      </c>
      <c r="H617" s="50">
        <v>2500</v>
      </c>
      <c r="I617" s="49">
        <f>BHP[[#This Row],[qtySaldoAwalSem1]]*BHP[[#This Row],[hargaSatuan]]</f>
        <v>2300500</v>
      </c>
      <c r="J617" s="50">
        <v>0</v>
      </c>
      <c r="K617" s="51">
        <f>BHP[[#This Row],[qtyTerima2025]]*BHP[[#This Row],[hargaSatuan]]</f>
        <v>0</v>
      </c>
      <c r="L617" s="50">
        <v>2500</v>
      </c>
      <c r="M617" s="51">
        <f>BHP[[#This Row],[qtyDist2025]]*BHP[[#This Row],[hargaSatuan]]</f>
        <v>2300500</v>
      </c>
      <c r="N617" s="50">
        <v>0</v>
      </c>
      <c r="O617" s="51">
        <f>BHP[[#This Row],[qtyEd2025]]*BHP[[#This Row],[hargaSatuan]]</f>
        <v>0</v>
      </c>
      <c r="P617" s="50">
        <f>BHP[[#This Row],[qtySaldoAwalSem1]]+BHP[[#This Row],[qtyTerima2025]]-(BHP[[#This Row],[qtyDist2025]]+BHP[[#This Row],[qtyEd2025]])</f>
        <v>0</v>
      </c>
      <c r="Q617" s="52">
        <f>BHP[[#This Row],[qtySaldoAkhir2025]]*BHP[[#This Row],[hargaSatuan]]</f>
        <v>0</v>
      </c>
      <c r="S617" s="32">
        <f t="shared" si="18"/>
        <v>0</v>
      </c>
      <c r="T617" s="32">
        <f t="shared" si="19"/>
        <v>0</v>
      </c>
    </row>
    <row r="618" spans="1:20" ht="14.4" x14ac:dyDescent="0.3">
      <c r="A618" s="44">
        <v>22</v>
      </c>
      <c r="B618" s="45" t="s">
        <v>772</v>
      </c>
      <c r="C618" s="46" t="s">
        <v>752</v>
      </c>
      <c r="D618" s="47">
        <v>13122388</v>
      </c>
      <c r="E618" s="87">
        <v>47058</v>
      </c>
      <c r="F618" s="49">
        <f>1239.7-102.880899778557</f>
        <v>1136.819100221443</v>
      </c>
      <c r="G618" s="88" t="s">
        <v>54</v>
      </c>
      <c r="H618" s="50">
        <v>10000</v>
      </c>
      <c r="I618" s="49">
        <f>BHP[[#This Row],[qtySaldoAwalSem1]]*BHP[[#This Row],[hargaSatuan]]</f>
        <v>11368191.00221443</v>
      </c>
      <c r="J618" s="50">
        <v>0</v>
      </c>
      <c r="K618" s="51">
        <f>BHP[[#This Row],[qtyTerima2025]]*BHP[[#This Row],[hargaSatuan]]</f>
        <v>0</v>
      </c>
      <c r="L618" s="50">
        <v>10000</v>
      </c>
      <c r="M618" s="51">
        <f>BHP[[#This Row],[qtyDist2025]]*BHP[[#This Row],[hargaSatuan]]</f>
        <v>11368191.00221443</v>
      </c>
      <c r="N618" s="50">
        <v>0</v>
      </c>
      <c r="O618" s="51">
        <f>BHP[[#This Row],[qtyEd2025]]*BHP[[#This Row],[hargaSatuan]]</f>
        <v>0</v>
      </c>
      <c r="P618" s="50">
        <f>BHP[[#This Row],[qtySaldoAwalSem1]]+BHP[[#This Row],[qtyTerima2025]]-(BHP[[#This Row],[qtyDist2025]]+BHP[[#This Row],[qtyEd2025]])</f>
        <v>0</v>
      </c>
      <c r="Q618" s="52">
        <f>BHP[[#This Row],[qtySaldoAkhir2025]]*BHP[[#This Row],[hargaSatuan]]</f>
        <v>0</v>
      </c>
      <c r="S618" s="32">
        <f t="shared" si="18"/>
        <v>0</v>
      </c>
      <c r="T618" s="32">
        <f t="shared" si="19"/>
        <v>0</v>
      </c>
    </row>
    <row r="619" spans="1:20" ht="14.4" x14ac:dyDescent="0.3">
      <c r="A619" s="44">
        <v>23</v>
      </c>
      <c r="B619" s="45" t="s">
        <v>772</v>
      </c>
      <c r="C619" s="46" t="s">
        <v>752</v>
      </c>
      <c r="D619" s="47">
        <v>8072488</v>
      </c>
      <c r="E619" s="87">
        <v>47270</v>
      </c>
      <c r="F619" s="49">
        <v>1136.08503875969</v>
      </c>
      <c r="G619" s="45" t="s">
        <v>54</v>
      </c>
      <c r="H619" s="50">
        <v>2900</v>
      </c>
      <c r="I619" s="49">
        <f>BHP[[#This Row],[qtySaldoAwalSem1]]*BHP[[#This Row],[hargaSatuan]]</f>
        <v>3294646.6124031008</v>
      </c>
      <c r="J619" s="50">
        <v>0</v>
      </c>
      <c r="K619" s="51">
        <f>BHP[[#This Row],[qtyTerima2025]]*BHP[[#This Row],[hargaSatuan]]</f>
        <v>0</v>
      </c>
      <c r="L619" s="50">
        <v>2900</v>
      </c>
      <c r="M619" s="51">
        <f>BHP[[#This Row],[qtyDist2025]]*BHP[[#This Row],[hargaSatuan]]</f>
        <v>3294646.6124031008</v>
      </c>
      <c r="N619" s="50">
        <v>0</v>
      </c>
      <c r="O619" s="51">
        <f>BHP[[#This Row],[qtyEd2025]]*BHP[[#This Row],[hargaSatuan]]</f>
        <v>0</v>
      </c>
      <c r="P619" s="50">
        <f>BHP[[#This Row],[qtySaldoAwalSem1]]+BHP[[#This Row],[qtyTerima2025]]-(BHP[[#This Row],[qtyDist2025]]+BHP[[#This Row],[qtyEd2025]])</f>
        <v>0</v>
      </c>
      <c r="Q619" s="52">
        <f>BHP[[#This Row],[qtySaldoAkhir2025]]*BHP[[#This Row],[hargaSatuan]]</f>
        <v>0</v>
      </c>
      <c r="S619" s="32">
        <f t="shared" si="18"/>
        <v>0</v>
      </c>
      <c r="T619" s="32">
        <f t="shared" si="19"/>
        <v>0</v>
      </c>
    </row>
    <row r="620" spans="1:20" ht="14.4" x14ac:dyDescent="0.3">
      <c r="A620" s="44">
        <v>24</v>
      </c>
      <c r="B620" s="45" t="s">
        <v>772</v>
      </c>
      <c r="C620" s="46" t="s">
        <v>752</v>
      </c>
      <c r="D620" s="47">
        <v>0</v>
      </c>
      <c r="E620" s="48"/>
      <c r="F620" s="49">
        <v>991.80913039999996</v>
      </c>
      <c r="G620" s="45" t="s">
        <v>41</v>
      </c>
      <c r="H620" s="50">
        <v>0</v>
      </c>
      <c r="I620" s="49">
        <f>BHP[[#This Row],[qtySaldoAwalSem1]]*BHP[[#This Row],[hargaSatuan]]</f>
        <v>0</v>
      </c>
      <c r="J620" s="50">
        <v>23000</v>
      </c>
      <c r="K620" s="51">
        <f>BHP[[#This Row],[qtyTerima2025]]*BHP[[#This Row],[hargaSatuan]]</f>
        <v>22811609.999199998</v>
      </c>
      <c r="L620" s="50">
        <v>0</v>
      </c>
      <c r="M620" s="51">
        <f>BHP[[#This Row],[qtyDist2025]]*BHP[[#This Row],[hargaSatuan]]</f>
        <v>0</v>
      </c>
      <c r="N620" s="50">
        <v>0</v>
      </c>
      <c r="O620" s="51">
        <v>0</v>
      </c>
      <c r="P620" s="50">
        <f>BHP[[#This Row],[qtySaldoAwalSem1]]+BHP[[#This Row],[qtyTerima2025]]-(BHP[[#This Row],[qtyDist2025]]+BHP[[#This Row],[qtyEd2025]])</f>
        <v>23000</v>
      </c>
      <c r="Q620" s="52">
        <f>BHP[[#This Row],[qtySaldoAkhir2025]]*BHP[[#This Row],[hargaSatuan]]</f>
        <v>22811609.999199998</v>
      </c>
      <c r="S620" s="32">
        <f t="shared" si="18"/>
        <v>22811609.999199998</v>
      </c>
      <c r="T620" s="32">
        <f t="shared" si="19"/>
        <v>0</v>
      </c>
    </row>
    <row r="621" spans="1:20" ht="14.4" x14ac:dyDescent="0.3">
      <c r="A621" s="44">
        <v>25</v>
      </c>
      <c r="B621" s="45" t="s">
        <v>772</v>
      </c>
      <c r="C621" s="46" t="s">
        <v>752</v>
      </c>
      <c r="D621" s="47" t="s">
        <v>774</v>
      </c>
      <c r="E621" s="48"/>
      <c r="F621" s="49">
        <v>1000</v>
      </c>
      <c r="G621" s="45" t="s">
        <v>41</v>
      </c>
      <c r="H621" s="50">
        <v>0</v>
      </c>
      <c r="I621" s="49">
        <f>BHP[[#This Row],[qtySaldoAwalSem1]]*BHP[[#This Row],[hargaSatuan]]</f>
        <v>0</v>
      </c>
      <c r="J621" s="50">
        <v>17600</v>
      </c>
      <c r="K621" s="51">
        <f>BHP[[#This Row],[qtyTerima2025]]*BHP[[#This Row],[hargaSatuan]]</f>
        <v>17600000</v>
      </c>
      <c r="L621" s="50">
        <v>0</v>
      </c>
      <c r="M621" s="51">
        <f>BHP[[#This Row],[qtyDist2025]]*BHP[[#This Row],[hargaSatuan]]</f>
        <v>0</v>
      </c>
      <c r="N621" s="50">
        <v>0</v>
      </c>
      <c r="O621" s="51">
        <v>0</v>
      </c>
      <c r="P621" s="50">
        <f>BHP[[#This Row],[qtySaldoAwalSem1]]+BHP[[#This Row],[qtyTerima2025]]-(BHP[[#This Row],[qtyDist2025]]+BHP[[#This Row],[qtyEd2025]])</f>
        <v>17600</v>
      </c>
      <c r="Q621" s="52">
        <f>BHP[[#This Row],[qtySaldoAkhir2025]]*BHP[[#This Row],[hargaSatuan]]</f>
        <v>17600000</v>
      </c>
      <c r="S621" s="32">
        <f t="shared" si="18"/>
        <v>17600000</v>
      </c>
      <c r="T621" s="32">
        <f t="shared" si="19"/>
        <v>0</v>
      </c>
    </row>
    <row r="622" spans="1:20" ht="14.4" x14ac:dyDescent="0.3">
      <c r="A622" s="44">
        <v>26</v>
      </c>
      <c r="B622" s="45" t="s">
        <v>772</v>
      </c>
      <c r="C622" s="46" t="s">
        <v>752</v>
      </c>
      <c r="D622" s="47" t="s">
        <v>775</v>
      </c>
      <c r="E622" s="48"/>
      <c r="F622" s="49">
        <v>1000</v>
      </c>
      <c r="G622" s="45" t="s">
        <v>41</v>
      </c>
      <c r="H622" s="50">
        <v>0</v>
      </c>
      <c r="I622" s="49">
        <f>BHP[[#This Row],[qtySaldoAwalSem1]]*BHP[[#This Row],[hargaSatuan]]</f>
        <v>0</v>
      </c>
      <c r="J622" s="50">
        <v>12400</v>
      </c>
      <c r="K622" s="51">
        <f>BHP[[#This Row],[qtyTerima2025]]*BHP[[#This Row],[hargaSatuan]]</f>
        <v>12400000</v>
      </c>
      <c r="L622" s="50">
        <v>0</v>
      </c>
      <c r="M622" s="51">
        <f>BHP[[#This Row],[qtyDist2025]]*BHP[[#This Row],[hargaSatuan]]</f>
        <v>0</v>
      </c>
      <c r="N622" s="50">
        <v>0</v>
      </c>
      <c r="O622" s="51">
        <v>0</v>
      </c>
      <c r="P622" s="50">
        <f>BHP[[#This Row],[qtySaldoAwalSem1]]+BHP[[#This Row],[qtyTerima2025]]-(BHP[[#This Row],[qtyDist2025]]+BHP[[#This Row],[qtyEd2025]])</f>
        <v>12400</v>
      </c>
      <c r="Q622" s="52">
        <f>BHP[[#This Row],[qtySaldoAkhir2025]]*BHP[[#This Row],[hargaSatuan]]</f>
        <v>12400000</v>
      </c>
      <c r="S622" s="32">
        <f t="shared" si="18"/>
        <v>12400000</v>
      </c>
      <c r="T622" s="32">
        <f t="shared" si="19"/>
        <v>0</v>
      </c>
    </row>
    <row r="623" spans="1:20" ht="14.4" x14ac:dyDescent="0.3">
      <c r="A623" s="44">
        <v>27</v>
      </c>
      <c r="B623" s="45" t="s">
        <v>772</v>
      </c>
      <c r="C623" s="46" t="s">
        <v>752</v>
      </c>
      <c r="D623" s="47" t="s">
        <v>776</v>
      </c>
      <c r="E623" s="48">
        <v>46387</v>
      </c>
      <c r="F623" s="49">
        <v>569</v>
      </c>
      <c r="G623" s="45" t="s">
        <v>40</v>
      </c>
      <c r="H623" s="50">
        <v>0</v>
      </c>
      <c r="I623" s="49">
        <f>BHP[[#This Row],[qtySaldoAwalSem1]]*BHP[[#This Row],[hargaSatuan]]</f>
        <v>0</v>
      </c>
      <c r="J623" s="50">
        <v>30600</v>
      </c>
      <c r="K623" s="51">
        <f>BHP[[#This Row],[qtyTerima2025]]*BHP[[#This Row],[hargaSatuan]]</f>
        <v>17411400</v>
      </c>
      <c r="L623" s="50">
        <v>30600</v>
      </c>
      <c r="M623" s="51">
        <f>BHP[[#This Row],[qtyDist2025]]*BHP[[#This Row],[hargaSatuan]]</f>
        <v>17411400</v>
      </c>
      <c r="N623" s="50">
        <v>0</v>
      </c>
      <c r="O623" s="51">
        <v>0</v>
      </c>
      <c r="P623" s="50">
        <f>BHP[[#This Row],[qtySaldoAwalSem1]]+BHP[[#This Row],[qtyTerima2025]]-(BHP[[#This Row],[qtyDist2025]]+BHP[[#This Row],[qtyEd2025]])</f>
        <v>0</v>
      </c>
      <c r="Q623" s="52">
        <f>BHP[[#This Row],[qtySaldoAkhir2025]]*BHP[[#This Row],[hargaSatuan]]</f>
        <v>0</v>
      </c>
      <c r="S623" s="32">
        <f t="shared" si="18"/>
        <v>0</v>
      </c>
      <c r="T623" s="32">
        <f t="shared" si="19"/>
        <v>0</v>
      </c>
    </row>
    <row r="624" spans="1:20" ht="28.8" x14ac:dyDescent="0.3">
      <c r="A624" s="44">
        <v>28</v>
      </c>
      <c r="B624" s="45" t="s">
        <v>777</v>
      </c>
      <c r="C624" s="46" t="s">
        <v>778</v>
      </c>
      <c r="D624" s="47" t="s">
        <v>779</v>
      </c>
      <c r="E624" s="87">
        <v>47300</v>
      </c>
      <c r="F624" s="49">
        <v>1472</v>
      </c>
      <c r="G624" s="45" t="s">
        <v>41</v>
      </c>
      <c r="H624" s="50">
        <v>0</v>
      </c>
      <c r="I624" s="49">
        <f>BHP[[#This Row],[qtySaldoAwalSem1]]*BHP[[#This Row],[hargaSatuan]]</f>
        <v>0</v>
      </c>
      <c r="J624" s="50">
        <v>800</v>
      </c>
      <c r="K624" s="51">
        <f>BHP[[#This Row],[qtyTerima2025]]*BHP[[#This Row],[hargaSatuan]]</f>
        <v>1177600</v>
      </c>
      <c r="L624" s="50">
        <v>800</v>
      </c>
      <c r="M624" s="51">
        <f>BHP[[#This Row],[qtyDist2025]]*BHP[[#This Row],[hargaSatuan]]</f>
        <v>1177600</v>
      </c>
      <c r="N624" s="50">
        <v>0</v>
      </c>
      <c r="O624" s="51">
        <v>0</v>
      </c>
      <c r="P624" s="50">
        <f>BHP[[#This Row],[qtySaldoAwalSem1]]+BHP[[#This Row],[qtyTerima2025]]-(BHP[[#This Row],[qtyDist2025]]+BHP[[#This Row],[qtyEd2025]])</f>
        <v>0</v>
      </c>
      <c r="Q624" s="52">
        <f>BHP[[#This Row],[qtySaldoAkhir2025]]*BHP[[#This Row],[hargaSatuan]]</f>
        <v>0</v>
      </c>
      <c r="S624" s="32">
        <f t="shared" si="18"/>
        <v>0</v>
      </c>
      <c r="T624" s="32">
        <f t="shared" si="19"/>
        <v>0</v>
      </c>
    </row>
    <row r="625" spans="1:20" ht="14.4" x14ac:dyDescent="0.3">
      <c r="A625" s="44">
        <v>29</v>
      </c>
      <c r="B625" s="45" t="s">
        <v>780</v>
      </c>
      <c r="C625" s="46" t="s">
        <v>752</v>
      </c>
      <c r="D625" s="89">
        <v>251319</v>
      </c>
      <c r="E625" s="87">
        <v>11135</v>
      </c>
      <c r="F625" s="49">
        <v>1034.1500000000001</v>
      </c>
      <c r="G625" s="45" t="s">
        <v>41</v>
      </c>
      <c r="H625" s="50">
        <v>0</v>
      </c>
      <c r="I625" s="49">
        <f>BHP[[#This Row],[qtySaldoAwalSem1]]*BHP[[#This Row],[hargaSatuan]]</f>
        <v>0</v>
      </c>
      <c r="J625" s="50">
        <v>79200</v>
      </c>
      <c r="K625" s="51">
        <f>BHP[[#This Row],[qtyTerima2025]]*BHP[[#This Row],[hargaSatuan]]</f>
        <v>81904680</v>
      </c>
      <c r="L625" s="50">
        <v>18900</v>
      </c>
      <c r="M625" s="51">
        <f>BHP[[#This Row],[qtyDist2025]]*BHP[[#This Row],[hargaSatuan]]</f>
        <v>19545435</v>
      </c>
      <c r="N625" s="50">
        <v>0</v>
      </c>
      <c r="O625" s="51">
        <v>0</v>
      </c>
      <c r="P625" s="50">
        <f>BHP[[#This Row],[qtySaldoAwalSem1]]+BHP[[#This Row],[qtyTerima2025]]-(BHP[[#This Row],[qtyDist2025]]+BHP[[#This Row],[qtyEd2025]])</f>
        <v>60300</v>
      </c>
      <c r="Q625" s="52">
        <f>BHP[[#This Row],[qtySaldoAkhir2025]]*BHP[[#This Row],[hargaSatuan]]</f>
        <v>62359245.000000007</v>
      </c>
      <c r="S625" s="32">
        <f t="shared" si="18"/>
        <v>62359245</v>
      </c>
      <c r="T625" s="32">
        <f t="shared" si="19"/>
        <v>7.4505805969238281E-9</v>
      </c>
    </row>
    <row r="626" spans="1:20" ht="14.4" x14ac:dyDescent="0.3">
      <c r="A626" s="44">
        <v>30</v>
      </c>
      <c r="B626" s="45" t="s">
        <v>781</v>
      </c>
      <c r="C626" s="46" t="s">
        <v>752</v>
      </c>
      <c r="D626" s="47">
        <v>231435</v>
      </c>
      <c r="E626" s="87">
        <v>46813</v>
      </c>
      <c r="F626" s="49">
        <v>1025</v>
      </c>
      <c r="G626" s="88" t="s">
        <v>54</v>
      </c>
      <c r="H626" s="50">
        <v>9600</v>
      </c>
      <c r="I626" s="49">
        <f>BHP[[#This Row],[qtySaldoAwalSem1]]*BHP[[#This Row],[hargaSatuan]]</f>
        <v>9840000</v>
      </c>
      <c r="J626" s="50">
        <v>0</v>
      </c>
      <c r="K626" s="51">
        <f>BHP[[#This Row],[qtyTerima2025]]*BHP[[#This Row],[hargaSatuan]]</f>
        <v>0</v>
      </c>
      <c r="L626" s="50">
        <v>9600</v>
      </c>
      <c r="M626" s="51">
        <f>BHP[[#This Row],[qtyDist2025]]*BHP[[#This Row],[hargaSatuan]]</f>
        <v>9840000</v>
      </c>
      <c r="N626" s="50">
        <v>0</v>
      </c>
      <c r="O626" s="51">
        <f>BHP[[#This Row],[qtyEd2025]]*BHP[[#This Row],[hargaSatuan]]</f>
        <v>0</v>
      </c>
      <c r="P626" s="50">
        <f>BHP[[#This Row],[qtySaldoAwalSem1]]+BHP[[#This Row],[qtyTerima2025]]-(BHP[[#This Row],[qtyDist2025]]+BHP[[#This Row],[qtyEd2025]])</f>
        <v>0</v>
      </c>
      <c r="Q626" s="52">
        <f>BHP[[#This Row],[qtySaldoAkhir2025]]*BHP[[#This Row],[hargaSatuan]]</f>
        <v>0</v>
      </c>
      <c r="S626" s="32">
        <f t="shared" si="18"/>
        <v>0</v>
      </c>
      <c r="T626" s="32">
        <f t="shared" si="19"/>
        <v>0</v>
      </c>
    </row>
    <row r="627" spans="1:20" ht="14.4" x14ac:dyDescent="0.3">
      <c r="A627" s="44">
        <v>31</v>
      </c>
      <c r="B627" s="45" t="s">
        <v>781</v>
      </c>
      <c r="C627" s="46" t="s">
        <v>752</v>
      </c>
      <c r="D627" s="47">
        <v>231440</v>
      </c>
      <c r="E627" s="48">
        <v>47088</v>
      </c>
      <c r="F627" s="49">
        <v>1021.25</v>
      </c>
      <c r="G627" s="45" t="s">
        <v>17</v>
      </c>
      <c r="H627" s="50">
        <v>17400</v>
      </c>
      <c r="I627" s="49">
        <f>BHP[[#This Row],[qtySaldoAwalSem1]]*BHP[[#This Row],[hargaSatuan]]</f>
        <v>17769750</v>
      </c>
      <c r="J627" s="50">
        <v>0</v>
      </c>
      <c r="K627" s="51">
        <f>BHP[[#This Row],[qtyTerima2025]]*BHP[[#This Row],[hargaSatuan]]</f>
        <v>0</v>
      </c>
      <c r="L627" s="50">
        <v>6900</v>
      </c>
      <c r="M627" s="51">
        <f>BHP[[#This Row],[qtyDist2025]]*BHP[[#This Row],[hargaSatuan]]</f>
        <v>7046625</v>
      </c>
      <c r="N627" s="50">
        <v>0</v>
      </c>
      <c r="O627" s="51">
        <f>BHP[[#This Row],[qtyEd2025]]*BHP[[#This Row],[hargaSatuan]]</f>
        <v>0</v>
      </c>
      <c r="P627" s="50">
        <f>BHP[[#This Row],[qtySaldoAwalSem1]]+BHP[[#This Row],[qtyTerima2025]]-(BHP[[#This Row],[qtyDist2025]]+BHP[[#This Row],[qtyEd2025]])</f>
        <v>10500</v>
      </c>
      <c r="Q627" s="52">
        <f>BHP[[#This Row],[qtySaldoAkhir2025]]*BHP[[#This Row],[hargaSatuan]]</f>
        <v>10723125</v>
      </c>
      <c r="S627" s="32">
        <f t="shared" si="18"/>
        <v>10723125</v>
      </c>
      <c r="T627" s="32">
        <f t="shared" si="19"/>
        <v>0</v>
      </c>
    </row>
    <row r="628" spans="1:20" ht="14.4" x14ac:dyDescent="0.3">
      <c r="A628" s="44">
        <v>32</v>
      </c>
      <c r="B628" s="45" t="s">
        <v>781</v>
      </c>
      <c r="C628" s="46" t="s">
        <v>752</v>
      </c>
      <c r="D628" s="47" t="s">
        <v>782</v>
      </c>
      <c r="E628" s="87">
        <v>47149</v>
      </c>
      <c r="F628" s="49">
        <v>1607</v>
      </c>
      <c r="G628" s="45" t="s">
        <v>40</v>
      </c>
      <c r="H628" s="50">
        <v>0</v>
      </c>
      <c r="I628" s="49">
        <f>BHP[[#This Row],[qtySaldoAwalSem1]]*BHP[[#This Row],[hargaSatuan]]</f>
        <v>0</v>
      </c>
      <c r="J628" s="50">
        <v>400</v>
      </c>
      <c r="K628" s="51">
        <f>BHP[[#This Row],[qtyTerima2025]]*BHP[[#This Row],[hargaSatuan]]</f>
        <v>642800</v>
      </c>
      <c r="L628" s="50">
        <v>200</v>
      </c>
      <c r="M628" s="51">
        <f>BHP[[#This Row],[qtyDist2025]]*BHP[[#This Row],[hargaSatuan]]</f>
        <v>321400</v>
      </c>
      <c r="N628" s="50">
        <v>0</v>
      </c>
      <c r="O628" s="51">
        <v>0</v>
      </c>
      <c r="P628" s="50">
        <f>BHP[[#This Row],[qtySaldoAwalSem1]]+BHP[[#This Row],[qtyTerima2025]]-(BHP[[#This Row],[qtyDist2025]]+BHP[[#This Row],[qtyEd2025]])</f>
        <v>200</v>
      </c>
      <c r="Q628" s="52">
        <f>BHP[[#This Row],[qtySaldoAkhir2025]]*BHP[[#This Row],[hargaSatuan]]</f>
        <v>321400</v>
      </c>
      <c r="S628" s="32">
        <f t="shared" si="18"/>
        <v>321400</v>
      </c>
      <c r="T628" s="32">
        <f t="shared" si="19"/>
        <v>0</v>
      </c>
    </row>
    <row r="629" spans="1:20" ht="14.4" x14ac:dyDescent="0.3">
      <c r="A629" s="44">
        <v>33</v>
      </c>
      <c r="B629" s="45" t="s">
        <v>783</v>
      </c>
      <c r="C629" s="46" t="s">
        <v>752</v>
      </c>
      <c r="D629" s="47">
        <v>1072288</v>
      </c>
      <c r="E629" s="87">
        <v>45809</v>
      </c>
      <c r="F629" s="49">
        <v>95.466666666666669</v>
      </c>
      <c r="G629" s="45" t="s">
        <v>54</v>
      </c>
      <c r="H629" s="50">
        <v>243100</v>
      </c>
      <c r="I629" s="49">
        <f>BHP[[#This Row],[qtySaldoAwalSem1]]*BHP[[#This Row],[hargaSatuan]]</f>
        <v>23207946.666666668</v>
      </c>
      <c r="J629" s="50">
        <v>0</v>
      </c>
      <c r="K629" s="51">
        <f>BHP[[#This Row],[qtyTerima2025]]*BHP[[#This Row],[hargaSatuan]]</f>
        <v>0</v>
      </c>
      <c r="L629" s="50">
        <v>243000</v>
      </c>
      <c r="M629" s="51">
        <f>BHP[[#This Row],[qtyDist2025]]*BHP[[#This Row],[hargaSatuan]]</f>
        <v>23198400</v>
      </c>
      <c r="N629" s="50">
        <v>100</v>
      </c>
      <c r="O629" s="51">
        <f>BHP[[#This Row],[qtyEd2025]]*BHP[[#This Row],[hargaSatuan]]</f>
        <v>9546.6666666666661</v>
      </c>
      <c r="P629" s="50">
        <f>BHP[[#This Row],[qtySaldoAwalSem1]]+BHP[[#This Row],[qtyTerima2025]]-(BHP[[#This Row],[qtyDist2025]]+BHP[[#This Row],[qtyEd2025]])</f>
        <v>0</v>
      </c>
      <c r="Q629" s="52">
        <f>BHP[[#This Row],[qtySaldoAkhir2025]]*BHP[[#This Row],[hargaSatuan]]</f>
        <v>0</v>
      </c>
      <c r="S629" s="32">
        <f t="shared" si="18"/>
        <v>0</v>
      </c>
      <c r="T629" s="32">
        <f t="shared" si="19"/>
        <v>0</v>
      </c>
    </row>
    <row r="630" spans="1:20" ht="14.4" x14ac:dyDescent="0.3">
      <c r="A630" s="44">
        <v>34</v>
      </c>
      <c r="B630" s="45" t="s">
        <v>783</v>
      </c>
      <c r="C630" s="46" t="s">
        <v>752</v>
      </c>
      <c r="D630" s="47">
        <v>3042388</v>
      </c>
      <c r="E630" s="48">
        <v>46082</v>
      </c>
      <c r="F630" s="49">
        <v>113.32545454545455</v>
      </c>
      <c r="G630" s="45" t="s">
        <v>54</v>
      </c>
      <c r="H630" s="50">
        <v>550000</v>
      </c>
      <c r="I630" s="49">
        <f>BHP[[#This Row],[qtySaldoAwalSem1]]*BHP[[#This Row],[hargaSatuan]]</f>
        <v>62329000</v>
      </c>
      <c r="J630" s="50">
        <v>0</v>
      </c>
      <c r="K630" s="51">
        <f>BHP[[#This Row],[qtyTerima2025]]*BHP[[#This Row],[hargaSatuan]]</f>
        <v>0</v>
      </c>
      <c r="L630" s="50">
        <v>432400</v>
      </c>
      <c r="M630" s="51">
        <f>BHP[[#This Row],[qtyDist2025]]*BHP[[#This Row],[hargaSatuan]]</f>
        <v>49001926.545454547</v>
      </c>
      <c r="N630" s="50">
        <v>0</v>
      </c>
      <c r="O630" s="51">
        <f>BHP[[#This Row],[qtyEd2025]]*BHP[[#This Row],[hargaSatuan]]</f>
        <v>0</v>
      </c>
      <c r="P630" s="50">
        <f>BHP[[#This Row],[qtySaldoAwalSem1]]+BHP[[#This Row],[qtyTerima2025]]-(BHP[[#This Row],[qtyDist2025]]+BHP[[#This Row],[qtyEd2025]])</f>
        <v>117600</v>
      </c>
      <c r="Q630" s="52">
        <f>BHP[[#This Row],[qtySaldoAkhir2025]]*BHP[[#This Row],[hargaSatuan]]</f>
        <v>13327073.454545455</v>
      </c>
      <c r="S630" s="32">
        <f t="shared" si="18"/>
        <v>13327073.454545453</v>
      </c>
      <c r="T630" s="32">
        <f t="shared" si="19"/>
        <v>1.862645149230957E-9</v>
      </c>
    </row>
    <row r="631" spans="1:20" ht="14.4" x14ac:dyDescent="0.3">
      <c r="A631" s="44">
        <v>35</v>
      </c>
      <c r="B631" s="45" t="s">
        <v>783</v>
      </c>
      <c r="C631" s="46" t="s">
        <v>752</v>
      </c>
      <c r="D631" s="47">
        <v>23012126</v>
      </c>
      <c r="E631" s="48">
        <v>46600</v>
      </c>
      <c r="F631" s="49">
        <v>115.4</v>
      </c>
      <c r="G631" s="45" t="s">
        <v>54</v>
      </c>
      <c r="H631" s="50">
        <v>199100</v>
      </c>
      <c r="I631" s="49">
        <f>BHP[[#This Row],[qtySaldoAwalSem1]]*BHP[[#This Row],[hargaSatuan]]</f>
        <v>22976140</v>
      </c>
      <c r="J631" s="50">
        <v>0</v>
      </c>
      <c r="K631" s="51">
        <f>BHP[[#This Row],[qtyTerima2025]]*BHP[[#This Row],[hargaSatuan]]</f>
        <v>0</v>
      </c>
      <c r="L631" s="50">
        <v>0</v>
      </c>
      <c r="M631" s="51">
        <f>BHP[[#This Row],[qtyDist2025]]*BHP[[#This Row],[hargaSatuan]]</f>
        <v>0</v>
      </c>
      <c r="N631" s="50">
        <v>0</v>
      </c>
      <c r="O631" s="51">
        <f>BHP[[#This Row],[qtyEd2025]]*BHP[[#This Row],[hargaSatuan]]</f>
        <v>0</v>
      </c>
      <c r="P631" s="50">
        <f>BHP[[#This Row],[qtySaldoAwalSem1]]+BHP[[#This Row],[qtyTerima2025]]-(BHP[[#This Row],[qtyDist2025]]+BHP[[#This Row],[qtyEd2025]])</f>
        <v>199100</v>
      </c>
      <c r="Q631" s="52">
        <f>BHP[[#This Row],[qtySaldoAkhir2025]]*BHP[[#This Row],[hargaSatuan]]</f>
        <v>22976140</v>
      </c>
      <c r="S631" s="32">
        <f t="shared" si="18"/>
        <v>22976140</v>
      </c>
      <c r="T631" s="32">
        <f t="shared" si="19"/>
        <v>0</v>
      </c>
    </row>
    <row r="632" spans="1:20" ht="14.4" x14ac:dyDescent="0.3">
      <c r="A632" s="44">
        <v>36</v>
      </c>
      <c r="B632" s="45" t="s">
        <v>783</v>
      </c>
      <c r="C632" s="46" t="s">
        <v>752</v>
      </c>
      <c r="D632" s="47">
        <v>202207</v>
      </c>
      <c r="E632" s="87">
        <v>46569</v>
      </c>
      <c r="F632" s="49">
        <v>193.43757881462798</v>
      </c>
      <c r="G632" s="45" t="s">
        <v>54</v>
      </c>
      <c r="H632" s="50">
        <v>79300</v>
      </c>
      <c r="I632" s="49">
        <f>BHP[[#This Row],[qtySaldoAwalSem1]]*BHP[[#This Row],[hargaSatuan]]</f>
        <v>15339599.999999998</v>
      </c>
      <c r="J632" s="50">
        <v>0</v>
      </c>
      <c r="K632" s="51">
        <f>BHP[[#This Row],[qtyTerima2025]]*BHP[[#This Row],[hargaSatuan]]</f>
        <v>0</v>
      </c>
      <c r="L632" s="50">
        <v>0</v>
      </c>
      <c r="M632" s="51">
        <f>BHP[[#This Row],[qtyDist2025]]*BHP[[#This Row],[hargaSatuan]]</f>
        <v>0</v>
      </c>
      <c r="N632" s="50">
        <v>0</v>
      </c>
      <c r="O632" s="51">
        <f>BHP[[#This Row],[qtyEd2025]]*BHP[[#This Row],[hargaSatuan]]</f>
        <v>0</v>
      </c>
      <c r="P632" s="50">
        <f>BHP[[#This Row],[qtySaldoAwalSem1]]+BHP[[#This Row],[qtyTerima2025]]-(BHP[[#This Row],[qtyDist2025]]+BHP[[#This Row],[qtyEd2025]])</f>
        <v>79300</v>
      </c>
      <c r="Q632" s="52">
        <f>BHP[[#This Row],[qtySaldoAkhir2025]]*BHP[[#This Row],[hargaSatuan]]</f>
        <v>15339599.999999998</v>
      </c>
      <c r="S632" s="32">
        <f t="shared" si="18"/>
        <v>15339599.999999998</v>
      </c>
      <c r="T632" s="32">
        <f t="shared" si="19"/>
        <v>0</v>
      </c>
    </row>
    <row r="633" spans="1:20" ht="14.4" x14ac:dyDescent="0.3">
      <c r="A633" s="44">
        <v>37</v>
      </c>
      <c r="B633" s="45" t="s">
        <v>783</v>
      </c>
      <c r="C633" s="46" t="s">
        <v>752</v>
      </c>
      <c r="D633" s="47">
        <v>1003001</v>
      </c>
      <c r="E633" s="87">
        <v>46539</v>
      </c>
      <c r="F633" s="49">
        <v>143.51</v>
      </c>
      <c r="G633" s="45" t="s">
        <v>55</v>
      </c>
      <c r="H633" s="50">
        <v>102400</v>
      </c>
      <c r="I633" s="49">
        <f>BHP[[#This Row],[qtySaldoAwalSem1]]*BHP[[#This Row],[hargaSatuan]]</f>
        <v>14695424</v>
      </c>
      <c r="J633" s="50">
        <v>0</v>
      </c>
      <c r="K633" s="51">
        <f>BHP[[#This Row],[qtyTerima2025]]*BHP[[#This Row],[hargaSatuan]]</f>
        <v>0</v>
      </c>
      <c r="L633" s="50">
        <v>0</v>
      </c>
      <c r="M633" s="51">
        <f>BHP[[#This Row],[qtyDist2025]]*BHP[[#This Row],[hargaSatuan]]</f>
        <v>0</v>
      </c>
      <c r="N633" s="50">
        <v>0</v>
      </c>
      <c r="O633" s="51">
        <f>BHP[[#This Row],[qtyEd2025]]*BHP[[#This Row],[hargaSatuan]]</f>
        <v>0</v>
      </c>
      <c r="P633" s="50">
        <f>BHP[[#This Row],[qtySaldoAwalSem1]]+BHP[[#This Row],[qtyTerima2025]]-(BHP[[#This Row],[qtyDist2025]]+BHP[[#This Row],[qtyEd2025]])</f>
        <v>102400</v>
      </c>
      <c r="Q633" s="52">
        <f>BHP[[#This Row],[qtySaldoAkhir2025]]*BHP[[#This Row],[hargaSatuan]]</f>
        <v>14695424</v>
      </c>
      <c r="S633" s="32">
        <f t="shared" si="18"/>
        <v>14695424</v>
      </c>
      <c r="T633" s="32">
        <f t="shared" si="19"/>
        <v>0</v>
      </c>
    </row>
    <row r="634" spans="1:20" ht="14.4" x14ac:dyDescent="0.3">
      <c r="A634" s="44">
        <v>38</v>
      </c>
      <c r="B634" s="45" t="s">
        <v>783</v>
      </c>
      <c r="C634" s="46" t="s">
        <v>752</v>
      </c>
      <c r="D634" s="47">
        <v>24012012</v>
      </c>
      <c r="E634" s="87">
        <v>46753</v>
      </c>
      <c r="F634" s="49">
        <v>134</v>
      </c>
      <c r="G634" s="45" t="s">
        <v>54</v>
      </c>
      <c r="H634" s="50">
        <v>84400</v>
      </c>
      <c r="I634" s="49">
        <f>BHP[[#This Row],[qtySaldoAwalSem1]]*BHP[[#This Row],[hargaSatuan]]</f>
        <v>11309600</v>
      </c>
      <c r="J634" s="50">
        <v>0</v>
      </c>
      <c r="K634" s="51">
        <f>BHP[[#This Row],[qtyTerima2025]]*BHP[[#This Row],[hargaSatuan]]</f>
        <v>0</v>
      </c>
      <c r="L634" s="50">
        <v>0</v>
      </c>
      <c r="M634" s="51">
        <f>BHP[[#This Row],[qtyDist2025]]*BHP[[#This Row],[hargaSatuan]]</f>
        <v>0</v>
      </c>
      <c r="N634" s="50">
        <v>0</v>
      </c>
      <c r="O634" s="51">
        <f>BHP[[#This Row],[qtyEd2025]]*BHP[[#This Row],[hargaSatuan]]</f>
        <v>0</v>
      </c>
      <c r="P634" s="50">
        <f>BHP[[#This Row],[qtySaldoAwalSem1]]+BHP[[#This Row],[qtyTerima2025]]-(BHP[[#This Row],[qtyDist2025]]+BHP[[#This Row],[qtyEd2025]])</f>
        <v>84400</v>
      </c>
      <c r="Q634" s="52">
        <f>BHP[[#This Row],[qtySaldoAkhir2025]]*BHP[[#This Row],[hargaSatuan]]</f>
        <v>11309600</v>
      </c>
      <c r="S634" s="32">
        <f t="shared" si="18"/>
        <v>11309600</v>
      </c>
      <c r="T634" s="32">
        <f t="shared" si="19"/>
        <v>0</v>
      </c>
    </row>
    <row r="635" spans="1:20" ht="14.4" x14ac:dyDescent="0.3">
      <c r="A635" s="44">
        <v>39</v>
      </c>
      <c r="B635" s="45" t="s">
        <v>783</v>
      </c>
      <c r="C635" s="46" t="s">
        <v>784</v>
      </c>
      <c r="D635" s="47">
        <v>25012014</v>
      </c>
      <c r="E635" s="48">
        <v>47150</v>
      </c>
      <c r="F635" s="49">
        <v>140.69999999999999</v>
      </c>
      <c r="G635" s="45" t="s">
        <v>54</v>
      </c>
      <c r="H635" s="50">
        <v>0</v>
      </c>
      <c r="I635" s="49">
        <f>BHP[[#This Row],[qtySaldoAwalSem1]]*BHP[[#This Row],[hargaSatuan]]</f>
        <v>0</v>
      </c>
      <c r="J635" s="50">
        <v>37000</v>
      </c>
      <c r="K635" s="51">
        <f>BHP[[#This Row],[qtyTerima2025]]*BHP[[#This Row],[hargaSatuan]]</f>
        <v>5205900</v>
      </c>
      <c r="L635" s="50">
        <v>0</v>
      </c>
      <c r="M635" s="51">
        <f>BHP[[#This Row],[qtyDist2025]]*BHP[[#This Row],[hargaSatuan]]</f>
        <v>0</v>
      </c>
      <c r="N635" s="50">
        <v>0</v>
      </c>
      <c r="O635" s="51">
        <v>0</v>
      </c>
      <c r="P635" s="50">
        <f>BHP[[#This Row],[qtySaldoAwalSem1]]+BHP[[#This Row],[qtyTerima2025]]-(BHP[[#This Row],[qtyDist2025]]+BHP[[#This Row],[qtyEd2025]])</f>
        <v>37000</v>
      </c>
      <c r="Q635" s="52">
        <f>BHP[[#This Row],[qtySaldoAkhir2025]]*BHP[[#This Row],[hargaSatuan]]</f>
        <v>5205900</v>
      </c>
      <c r="S635" s="32">
        <f t="shared" si="18"/>
        <v>5205900</v>
      </c>
      <c r="T635" s="32">
        <f t="shared" si="19"/>
        <v>0</v>
      </c>
    </row>
    <row r="636" spans="1:20" ht="14.4" x14ac:dyDescent="0.3">
      <c r="A636" s="44">
        <v>40</v>
      </c>
      <c r="B636" s="45" t="s">
        <v>783</v>
      </c>
      <c r="C636" s="46" t="s">
        <v>752</v>
      </c>
      <c r="D636" s="47" t="s">
        <v>785</v>
      </c>
      <c r="E636" s="48">
        <v>46296</v>
      </c>
      <c r="F636" s="49">
        <v>1650</v>
      </c>
      <c r="G636" s="45" t="s">
        <v>40</v>
      </c>
      <c r="H636" s="50">
        <v>0</v>
      </c>
      <c r="I636" s="49">
        <f>BHP[[#This Row],[qtySaldoAwalSem1]]*BHP[[#This Row],[hargaSatuan]]</f>
        <v>0</v>
      </c>
      <c r="J636" s="50">
        <v>12200</v>
      </c>
      <c r="K636" s="51">
        <f>BHP[[#This Row],[qtyTerima2025]]*BHP[[#This Row],[hargaSatuan]]</f>
        <v>20130000</v>
      </c>
      <c r="L636" s="50">
        <v>0</v>
      </c>
      <c r="M636" s="51">
        <f>BHP[[#This Row],[qtyDist2025]]*BHP[[#This Row],[hargaSatuan]]</f>
        <v>0</v>
      </c>
      <c r="N636" s="50">
        <v>0</v>
      </c>
      <c r="O636" s="51">
        <v>0</v>
      </c>
      <c r="P636" s="50">
        <f>BHP[[#This Row],[qtySaldoAwalSem1]]+BHP[[#This Row],[qtyTerima2025]]-(BHP[[#This Row],[qtyDist2025]]+BHP[[#This Row],[qtyEd2025]])</f>
        <v>12200</v>
      </c>
      <c r="Q636" s="52">
        <f>BHP[[#This Row],[qtySaldoAkhir2025]]*BHP[[#This Row],[hargaSatuan]]</f>
        <v>20130000</v>
      </c>
      <c r="S636" s="32">
        <f t="shared" si="18"/>
        <v>20130000</v>
      </c>
      <c r="T636" s="32">
        <f t="shared" si="19"/>
        <v>0</v>
      </c>
    </row>
    <row r="637" spans="1:20" ht="14.4" x14ac:dyDescent="0.3">
      <c r="A637" s="44">
        <v>41</v>
      </c>
      <c r="B637" s="45" t="s">
        <v>786</v>
      </c>
      <c r="C637" s="46" t="s">
        <v>752</v>
      </c>
      <c r="D637" s="47" t="s">
        <v>785</v>
      </c>
      <c r="E637" s="48">
        <v>46296</v>
      </c>
      <c r="F637" s="49">
        <v>79</v>
      </c>
      <c r="G637" s="45" t="s">
        <v>54</v>
      </c>
      <c r="H637" s="50">
        <v>5100</v>
      </c>
      <c r="I637" s="49">
        <f>BHP[[#This Row],[qtySaldoAwalSem1]]*BHP[[#This Row],[hargaSatuan]]</f>
        <v>402900</v>
      </c>
      <c r="J637" s="50">
        <v>0</v>
      </c>
      <c r="K637" s="51">
        <f>BHP[[#This Row],[qtyTerima2025]]*BHP[[#This Row],[hargaSatuan]]</f>
        <v>0</v>
      </c>
      <c r="L637" s="50">
        <v>5100</v>
      </c>
      <c r="M637" s="51">
        <f>BHP[[#This Row],[qtyDist2025]]*BHP[[#This Row],[hargaSatuan]]</f>
        <v>402900</v>
      </c>
      <c r="N637" s="50">
        <v>0</v>
      </c>
      <c r="O637" s="51">
        <f>BHP[[#This Row],[qtyEd2025]]*BHP[[#This Row],[hargaSatuan]]</f>
        <v>0</v>
      </c>
      <c r="P637" s="50">
        <f>BHP[[#This Row],[qtySaldoAwalSem1]]+BHP[[#This Row],[qtyTerima2025]]-(BHP[[#This Row],[qtyDist2025]]+BHP[[#This Row],[qtyEd2025]])</f>
        <v>0</v>
      </c>
      <c r="Q637" s="52">
        <f>BHP[[#This Row],[qtySaldoAkhir2025]]*BHP[[#This Row],[hargaSatuan]]</f>
        <v>0</v>
      </c>
      <c r="S637" s="32">
        <f t="shared" si="18"/>
        <v>0</v>
      </c>
      <c r="T637" s="32">
        <f t="shared" si="19"/>
        <v>0</v>
      </c>
    </row>
    <row r="638" spans="1:20" ht="14.4" x14ac:dyDescent="0.3">
      <c r="A638" s="44">
        <v>42</v>
      </c>
      <c r="B638" s="45" t="s">
        <v>787</v>
      </c>
      <c r="C638" s="46" t="s">
        <v>752</v>
      </c>
      <c r="D638" s="47">
        <v>0</v>
      </c>
      <c r="E638" s="48"/>
      <c r="F638" s="49">
        <v>89000</v>
      </c>
      <c r="G638" s="45" t="s">
        <v>40</v>
      </c>
      <c r="H638" s="50">
        <v>375</v>
      </c>
      <c r="I638" s="49">
        <f>BHP[[#This Row],[qtySaldoAwalSem1]]*BHP[[#This Row],[hargaSatuan]]</f>
        <v>33375000</v>
      </c>
      <c r="J638" s="50">
        <v>0</v>
      </c>
      <c r="K638" s="51">
        <f>BHP[[#This Row],[qtyTerima2025]]*BHP[[#This Row],[hargaSatuan]]</f>
        <v>0</v>
      </c>
      <c r="L638" s="50">
        <v>0</v>
      </c>
      <c r="M638" s="51">
        <f>BHP[[#This Row],[qtyDist2025]]*BHP[[#This Row],[hargaSatuan]]</f>
        <v>0</v>
      </c>
      <c r="N638" s="50">
        <v>0</v>
      </c>
      <c r="O638" s="51">
        <f>BHP[[#This Row],[qtyEd2025]]*BHP[[#This Row],[hargaSatuan]]</f>
        <v>0</v>
      </c>
      <c r="P638" s="50">
        <f>BHP[[#This Row],[qtySaldoAwalSem1]]+BHP[[#This Row],[qtyTerima2025]]-(BHP[[#This Row],[qtyDist2025]]+BHP[[#This Row],[qtyEd2025]])</f>
        <v>375</v>
      </c>
      <c r="Q638" s="52">
        <f>BHP[[#This Row],[qtySaldoAkhir2025]]*BHP[[#This Row],[hargaSatuan]]</f>
        <v>33375000</v>
      </c>
      <c r="S638" s="32">
        <f t="shared" si="18"/>
        <v>33375000</v>
      </c>
      <c r="T638" s="32">
        <f t="shared" si="19"/>
        <v>0</v>
      </c>
    </row>
    <row r="639" spans="1:20" ht="14.4" x14ac:dyDescent="0.3">
      <c r="A639" s="44">
        <v>43</v>
      </c>
      <c r="B639" s="45" t="s">
        <v>788</v>
      </c>
      <c r="C639" s="46" t="s">
        <v>752</v>
      </c>
      <c r="D639" s="47">
        <v>0</v>
      </c>
      <c r="E639" s="48"/>
      <c r="F639" s="49">
        <v>199980</v>
      </c>
      <c r="G639" s="45" t="s">
        <v>50</v>
      </c>
      <c r="H639" s="50">
        <v>180</v>
      </c>
      <c r="I639" s="49">
        <f>BHP[[#This Row],[qtySaldoAwalSem1]]*BHP[[#This Row],[hargaSatuan]]</f>
        <v>35996400</v>
      </c>
      <c r="J639" s="50">
        <v>0</v>
      </c>
      <c r="K639" s="51">
        <f>BHP[[#This Row],[qtyTerima2025]]*BHP[[#This Row],[hargaSatuan]]</f>
        <v>0</v>
      </c>
      <c r="L639" s="50">
        <v>0</v>
      </c>
      <c r="M639" s="51">
        <f>BHP[[#This Row],[qtyDist2025]]*BHP[[#This Row],[hargaSatuan]]</f>
        <v>0</v>
      </c>
      <c r="N639" s="50">
        <v>0</v>
      </c>
      <c r="O639" s="51">
        <f>BHP[[#This Row],[qtyEd2025]]*BHP[[#This Row],[hargaSatuan]]</f>
        <v>0</v>
      </c>
      <c r="P639" s="50">
        <f>BHP[[#This Row],[qtySaldoAwalSem1]]+BHP[[#This Row],[qtyTerima2025]]-(BHP[[#This Row],[qtyDist2025]]+BHP[[#This Row],[qtyEd2025]])</f>
        <v>180</v>
      </c>
      <c r="Q639" s="52">
        <f>BHP[[#This Row],[qtySaldoAkhir2025]]*BHP[[#This Row],[hargaSatuan]]</f>
        <v>35996400</v>
      </c>
      <c r="S639" s="32">
        <f t="shared" si="18"/>
        <v>35996400</v>
      </c>
      <c r="T639" s="32">
        <f t="shared" si="19"/>
        <v>0</v>
      </c>
    </row>
    <row r="640" spans="1:20" ht="14.4" x14ac:dyDescent="0.3">
      <c r="A640" s="44">
        <v>44</v>
      </c>
      <c r="B640" s="45" t="s">
        <v>789</v>
      </c>
      <c r="C640" s="46" t="s">
        <v>752</v>
      </c>
      <c r="D640" s="47">
        <v>0</v>
      </c>
      <c r="E640" s="48"/>
      <c r="F640" s="49">
        <v>450000</v>
      </c>
      <c r="G640" s="45" t="s">
        <v>40</v>
      </c>
      <c r="H640" s="50">
        <v>40</v>
      </c>
      <c r="I640" s="49">
        <f>BHP[[#This Row],[qtySaldoAwalSem1]]*BHP[[#This Row],[hargaSatuan]]</f>
        <v>18000000</v>
      </c>
      <c r="J640" s="50">
        <v>0</v>
      </c>
      <c r="K640" s="51">
        <f>BHP[[#This Row],[qtyTerima2025]]*BHP[[#This Row],[hargaSatuan]]</f>
        <v>0</v>
      </c>
      <c r="L640" s="50">
        <v>0</v>
      </c>
      <c r="M640" s="51">
        <f>BHP[[#This Row],[qtyDist2025]]*BHP[[#This Row],[hargaSatuan]]</f>
        <v>0</v>
      </c>
      <c r="N640" s="50">
        <v>0</v>
      </c>
      <c r="O640" s="51">
        <f>BHP[[#This Row],[qtyEd2025]]*BHP[[#This Row],[hargaSatuan]]</f>
        <v>0</v>
      </c>
      <c r="P640" s="50">
        <f>BHP[[#This Row],[qtySaldoAwalSem1]]+BHP[[#This Row],[qtyTerima2025]]-(BHP[[#This Row],[qtyDist2025]]+BHP[[#This Row],[qtyEd2025]])</f>
        <v>40</v>
      </c>
      <c r="Q640" s="52">
        <f>BHP[[#This Row],[qtySaldoAkhir2025]]*BHP[[#This Row],[hargaSatuan]]</f>
        <v>18000000</v>
      </c>
      <c r="S640" s="32">
        <f t="shared" si="18"/>
        <v>18000000</v>
      </c>
      <c r="T640" s="32">
        <f t="shared" si="19"/>
        <v>0</v>
      </c>
    </row>
    <row r="641" spans="1:20" ht="14.4" x14ac:dyDescent="0.3">
      <c r="A641" s="44">
        <v>45</v>
      </c>
      <c r="B641" s="45" t="s">
        <v>790</v>
      </c>
      <c r="C641" s="46" t="s">
        <v>752</v>
      </c>
      <c r="D641" s="47">
        <v>0</v>
      </c>
      <c r="E641" s="48"/>
      <c r="F641" s="49">
        <v>249975</v>
      </c>
      <c r="G641" s="45" t="s">
        <v>40</v>
      </c>
      <c r="H641" s="50">
        <v>460</v>
      </c>
      <c r="I641" s="49">
        <f>BHP[[#This Row],[qtySaldoAwalSem1]]*BHP[[#This Row],[hargaSatuan]]</f>
        <v>114988500</v>
      </c>
      <c r="J641" s="50">
        <v>0</v>
      </c>
      <c r="K641" s="51">
        <f>BHP[[#This Row],[qtyTerima2025]]*BHP[[#This Row],[hargaSatuan]]</f>
        <v>0</v>
      </c>
      <c r="L641" s="50">
        <v>100</v>
      </c>
      <c r="M641" s="51">
        <f>BHP[[#This Row],[qtyDist2025]]*BHP[[#This Row],[hargaSatuan]]</f>
        <v>24997500</v>
      </c>
      <c r="N641" s="50">
        <v>0</v>
      </c>
      <c r="O641" s="51">
        <f>BHP[[#This Row],[qtyEd2025]]*BHP[[#This Row],[hargaSatuan]]</f>
        <v>0</v>
      </c>
      <c r="P641" s="50">
        <f>BHP[[#This Row],[qtySaldoAwalSem1]]+BHP[[#This Row],[qtyTerima2025]]-(BHP[[#This Row],[qtyDist2025]]+BHP[[#This Row],[qtyEd2025]])</f>
        <v>360</v>
      </c>
      <c r="Q641" s="52">
        <f>BHP[[#This Row],[qtySaldoAkhir2025]]*BHP[[#This Row],[hargaSatuan]]</f>
        <v>89991000</v>
      </c>
      <c r="S641" s="32">
        <f t="shared" si="18"/>
        <v>89991000</v>
      </c>
      <c r="T641" s="32">
        <f t="shared" si="19"/>
        <v>0</v>
      </c>
    </row>
    <row r="642" spans="1:20" ht="14.4" x14ac:dyDescent="0.3">
      <c r="A642" s="44">
        <v>46</v>
      </c>
      <c r="B642" s="45" t="s">
        <v>791</v>
      </c>
      <c r="C642" s="46" t="s">
        <v>752</v>
      </c>
      <c r="D642" s="47">
        <v>0</v>
      </c>
      <c r="E642" s="48"/>
      <c r="F642" s="49">
        <v>139058.82352941178</v>
      </c>
      <c r="G642" s="45" t="s">
        <v>48</v>
      </c>
      <c r="H642" s="50">
        <v>1700</v>
      </c>
      <c r="I642" s="49">
        <f>BHP[[#This Row],[qtySaldoAwalSem1]]*BHP[[#This Row],[hargaSatuan]]</f>
        <v>236400000.00000003</v>
      </c>
      <c r="J642" s="50">
        <v>0</v>
      </c>
      <c r="K642" s="51">
        <f>BHP[[#This Row],[qtyTerima2025]]*BHP[[#This Row],[hargaSatuan]]</f>
        <v>0</v>
      </c>
      <c r="L642" s="50">
        <v>0</v>
      </c>
      <c r="M642" s="51">
        <f>BHP[[#This Row],[qtyDist2025]]*BHP[[#This Row],[hargaSatuan]]</f>
        <v>0</v>
      </c>
      <c r="N642" s="50">
        <v>0</v>
      </c>
      <c r="O642" s="51">
        <f>BHP[[#This Row],[qtyEd2025]]*BHP[[#This Row],[hargaSatuan]]</f>
        <v>0</v>
      </c>
      <c r="P642" s="50">
        <f>BHP[[#This Row],[qtySaldoAwalSem1]]+BHP[[#This Row],[qtyTerima2025]]-(BHP[[#This Row],[qtyDist2025]]+BHP[[#This Row],[qtyEd2025]])</f>
        <v>1700</v>
      </c>
      <c r="Q642" s="52">
        <f>BHP[[#This Row],[qtySaldoAkhir2025]]*BHP[[#This Row],[hargaSatuan]]</f>
        <v>236400000.00000003</v>
      </c>
      <c r="S642" s="32">
        <f t="shared" si="18"/>
        <v>236400000.00000003</v>
      </c>
      <c r="T642" s="32">
        <f t="shared" si="19"/>
        <v>0</v>
      </c>
    </row>
    <row r="643" spans="1:20" ht="14.4" x14ac:dyDescent="0.3">
      <c r="A643" s="44">
        <v>47</v>
      </c>
      <c r="B643" s="45" t="s">
        <v>792</v>
      </c>
      <c r="C643" s="46" t="s">
        <v>752</v>
      </c>
      <c r="D643" s="47">
        <v>0</v>
      </c>
      <c r="E643" s="48"/>
      <c r="F643" s="49">
        <v>249975</v>
      </c>
      <c r="G643" s="45" t="s">
        <v>40</v>
      </c>
      <c r="H643" s="50">
        <v>800</v>
      </c>
      <c r="I643" s="49">
        <f>BHP[[#This Row],[qtySaldoAwalSem1]]*BHP[[#This Row],[hargaSatuan]]</f>
        <v>199980000</v>
      </c>
      <c r="J643" s="50">
        <v>0</v>
      </c>
      <c r="K643" s="51">
        <f>BHP[[#This Row],[qtyTerima2025]]*BHP[[#This Row],[hargaSatuan]]</f>
        <v>0</v>
      </c>
      <c r="L643" s="50">
        <v>0</v>
      </c>
      <c r="M643" s="51">
        <f>BHP[[#This Row],[qtyDist2025]]*BHP[[#This Row],[hargaSatuan]]</f>
        <v>0</v>
      </c>
      <c r="N643" s="50">
        <v>0</v>
      </c>
      <c r="O643" s="51">
        <f>BHP[[#This Row],[qtyEd2025]]*BHP[[#This Row],[hargaSatuan]]</f>
        <v>0</v>
      </c>
      <c r="P643" s="50">
        <f>BHP[[#This Row],[qtySaldoAwalSem1]]+BHP[[#This Row],[qtyTerima2025]]-(BHP[[#This Row],[qtyDist2025]]+BHP[[#This Row],[qtyEd2025]])</f>
        <v>800</v>
      </c>
      <c r="Q643" s="52">
        <f>BHP[[#This Row],[qtySaldoAkhir2025]]*BHP[[#This Row],[hargaSatuan]]</f>
        <v>199980000</v>
      </c>
      <c r="S643" s="32">
        <f t="shared" si="18"/>
        <v>199980000</v>
      </c>
      <c r="T643" s="32">
        <f t="shared" si="19"/>
        <v>0</v>
      </c>
    </row>
    <row r="644" spans="1:20" ht="28.8" x14ac:dyDescent="0.3">
      <c r="A644" s="44">
        <v>48</v>
      </c>
      <c r="B644" s="45" t="s">
        <v>793</v>
      </c>
      <c r="C644" s="46" t="s">
        <v>752</v>
      </c>
      <c r="D644" s="47">
        <v>0</v>
      </c>
      <c r="E644" s="48"/>
      <c r="F644" s="49">
        <v>200700</v>
      </c>
      <c r="G644" s="45" t="s">
        <v>69</v>
      </c>
      <c r="H644" s="50">
        <v>190</v>
      </c>
      <c r="I644" s="49">
        <f>BHP[[#This Row],[qtySaldoAwalSem1]]*BHP[[#This Row],[hargaSatuan]]</f>
        <v>38133000</v>
      </c>
      <c r="J644" s="50">
        <v>0</v>
      </c>
      <c r="K644" s="51">
        <f>BHP[[#This Row],[qtyTerima2025]]*BHP[[#This Row],[hargaSatuan]]</f>
        <v>0</v>
      </c>
      <c r="L644" s="50">
        <v>0</v>
      </c>
      <c r="M644" s="51">
        <f>BHP[[#This Row],[qtyDist2025]]*BHP[[#This Row],[hargaSatuan]]</f>
        <v>0</v>
      </c>
      <c r="N644" s="50">
        <v>0</v>
      </c>
      <c r="O644" s="51">
        <f>BHP[[#This Row],[qtyEd2025]]*BHP[[#This Row],[hargaSatuan]]</f>
        <v>0</v>
      </c>
      <c r="P644" s="50">
        <f>BHP[[#This Row],[qtySaldoAwalSem1]]+BHP[[#This Row],[qtyTerima2025]]-(BHP[[#This Row],[qtyDist2025]]+BHP[[#This Row],[qtyEd2025]])</f>
        <v>190</v>
      </c>
      <c r="Q644" s="52">
        <f>BHP[[#This Row],[qtySaldoAkhir2025]]*BHP[[#This Row],[hargaSatuan]]</f>
        <v>38133000</v>
      </c>
      <c r="S644" s="32">
        <f t="shared" si="18"/>
        <v>38133000</v>
      </c>
      <c r="T644" s="32">
        <f t="shared" si="19"/>
        <v>0</v>
      </c>
    </row>
    <row r="645" spans="1:20" ht="14.4" x14ac:dyDescent="0.3">
      <c r="A645" s="44">
        <v>49</v>
      </c>
      <c r="B645" s="45" t="s">
        <v>794</v>
      </c>
      <c r="C645" s="46" t="s">
        <v>752</v>
      </c>
      <c r="D645" s="47">
        <v>0</v>
      </c>
      <c r="E645" s="48"/>
      <c r="F645" s="49">
        <v>90000</v>
      </c>
      <c r="G645" s="45" t="s">
        <v>69</v>
      </c>
      <c r="H645" s="50">
        <v>458</v>
      </c>
      <c r="I645" s="49">
        <f>BHP[[#This Row],[qtySaldoAwalSem1]]*BHP[[#This Row],[hargaSatuan]]</f>
        <v>41220000</v>
      </c>
      <c r="J645" s="50">
        <v>0</v>
      </c>
      <c r="K645" s="51">
        <f>BHP[[#This Row],[qtyTerima2025]]*BHP[[#This Row],[hargaSatuan]]</f>
        <v>0</v>
      </c>
      <c r="L645" s="50">
        <v>0</v>
      </c>
      <c r="M645" s="51">
        <f>BHP[[#This Row],[qtyDist2025]]*BHP[[#This Row],[hargaSatuan]]</f>
        <v>0</v>
      </c>
      <c r="N645" s="50">
        <v>0</v>
      </c>
      <c r="O645" s="51">
        <f>BHP[[#This Row],[qtyEd2025]]*BHP[[#This Row],[hargaSatuan]]</f>
        <v>0</v>
      </c>
      <c r="P645" s="50">
        <f>BHP[[#This Row],[qtySaldoAwalSem1]]+BHP[[#This Row],[qtyTerima2025]]-(BHP[[#This Row],[qtyDist2025]]+BHP[[#This Row],[qtyEd2025]])</f>
        <v>458</v>
      </c>
      <c r="Q645" s="52">
        <f>BHP[[#This Row],[qtySaldoAkhir2025]]*BHP[[#This Row],[hargaSatuan]]</f>
        <v>41220000</v>
      </c>
      <c r="S645" s="32">
        <f t="shared" si="18"/>
        <v>41220000</v>
      </c>
      <c r="T645" s="32">
        <f t="shared" si="19"/>
        <v>0</v>
      </c>
    </row>
    <row r="646" spans="1:20" ht="14.4" x14ac:dyDescent="0.3">
      <c r="A646" s="44">
        <v>50</v>
      </c>
      <c r="B646" s="45" t="s">
        <v>795</v>
      </c>
      <c r="C646" s="46" t="s">
        <v>752</v>
      </c>
      <c r="D646" s="47">
        <v>0</v>
      </c>
      <c r="E646" s="48"/>
      <c r="F646" s="49">
        <v>249975</v>
      </c>
      <c r="G646" s="45" t="s">
        <v>40</v>
      </c>
      <c r="H646" s="50">
        <v>2935</v>
      </c>
      <c r="I646" s="49">
        <f>BHP[[#This Row],[qtySaldoAwalSem1]]*BHP[[#This Row],[hargaSatuan]]</f>
        <v>733676625</v>
      </c>
      <c r="J646" s="50">
        <v>0</v>
      </c>
      <c r="K646" s="51">
        <f>BHP[[#This Row],[qtyTerima2025]]*BHP[[#This Row],[hargaSatuan]]</f>
        <v>0</v>
      </c>
      <c r="L646" s="50">
        <v>0</v>
      </c>
      <c r="M646" s="51">
        <f>BHP[[#This Row],[qtyDist2025]]*BHP[[#This Row],[hargaSatuan]]</f>
        <v>0</v>
      </c>
      <c r="N646" s="50">
        <v>0</v>
      </c>
      <c r="O646" s="51">
        <f>BHP[[#This Row],[qtyEd2025]]*BHP[[#This Row],[hargaSatuan]]</f>
        <v>0</v>
      </c>
      <c r="P646" s="50">
        <f>BHP[[#This Row],[qtySaldoAwalSem1]]+BHP[[#This Row],[qtyTerima2025]]-(BHP[[#This Row],[qtyDist2025]]+BHP[[#This Row],[qtyEd2025]])</f>
        <v>2935</v>
      </c>
      <c r="Q646" s="52">
        <f>BHP[[#This Row],[qtySaldoAkhir2025]]*BHP[[#This Row],[hargaSatuan]]</f>
        <v>733676625</v>
      </c>
      <c r="S646" s="32">
        <f t="shared" si="18"/>
        <v>733676625</v>
      </c>
      <c r="T646" s="32">
        <f t="shared" si="19"/>
        <v>0</v>
      </c>
    </row>
    <row r="647" spans="1:20" ht="14.4" x14ac:dyDescent="0.3">
      <c r="A647" s="44">
        <v>51</v>
      </c>
      <c r="B647" s="45" t="s">
        <v>796</v>
      </c>
      <c r="C647" s="46" t="s">
        <v>752</v>
      </c>
      <c r="D647" s="47">
        <v>0</v>
      </c>
      <c r="E647" s="48"/>
      <c r="F647" s="49">
        <v>199980</v>
      </c>
      <c r="G647" s="45" t="s">
        <v>50</v>
      </c>
      <c r="H647" s="50">
        <v>750</v>
      </c>
      <c r="I647" s="49">
        <f>BHP[[#This Row],[qtySaldoAwalSem1]]*BHP[[#This Row],[hargaSatuan]]</f>
        <v>149985000</v>
      </c>
      <c r="J647" s="50">
        <v>0</v>
      </c>
      <c r="K647" s="51">
        <f>BHP[[#This Row],[qtyTerima2025]]*BHP[[#This Row],[hargaSatuan]]</f>
        <v>0</v>
      </c>
      <c r="L647" s="50">
        <v>0</v>
      </c>
      <c r="M647" s="51">
        <f>BHP[[#This Row],[qtyDist2025]]*BHP[[#This Row],[hargaSatuan]]</f>
        <v>0</v>
      </c>
      <c r="N647" s="50">
        <v>0</v>
      </c>
      <c r="O647" s="51">
        <f>BHP[[#This Row],[qtyEd2025]]*BHP[[#This Row],[hargaSatuan]]</f>
        <v>0</v>
      </c>
      <c r="P647" s="50">
        <f>BHP[[#This Row],[qtySaldoAwalSem1]]+BHP[[#This Row],[qtyTerima2025]]-(BHP[[#This Row],[qtyDist2025]]+BHP[[#This Row],[qtyEd2025]])</f>
        <v>750</v>
      </c>
      <c r="Q647" s="52">
        <f>BHP[[#This Row],[qtySaldoAkhir2025]]*BHP[[#This Row],[hargaSatuan]]</f>
        <v>149985000</v>
      </c>
      <c r="S647" s="32">
        <f t="shared" si="18"/>
        <v>149985000</v>
      </c>
      <c r="T647" s="32">
        <f t="shared" si="19"/>
        <v>0</v>
      </c>
    </row>
    <row r="648" spans="1:20" ht="14.4" x14ac:dyDescent="0.3">
      <c r="A648" s="44">
        <v>52</v>
      </c>
      <c r="B648" s="45" t="s">
        <v>797</v>
      </c>
      <c r="C648" s="46" t="s">
        <v>752</v>
      </c>
      <c r="D648" s="47">
        <v>310322</v>
      </c>
      <c r="E648" s="87">
        <v>46447</v>
      </c>
      <c r="F648" s="49">
        <v>588.21176470588239</v>
      </c>
      <c r="G648" s="45" t="s">
        <v>54</v>
      </c>
      <c r="H648" s="50">
        <v>755</v>
      </c>
      <c r="I648" s="49">
        <f>BHP[[#This Row],[qtySaldoAwalSem1]]*BHP[[#This Row],[hargaSatuan]]</f>
        <v>444099.8823529412</v>
      </c>
      <c r="J648" s="50">
        <v>0</v>
      </c>
      <c r="K648" s="51">
        <f>BHP[[#This Row],[qtyTerima2025]]*BHP[[#This Row],[hargaSatuan]]</f>
        <v>0</v>
      </c>
      <c r="L648" s="50">
        <v>325</v>
      </c>
      <c r="M648" s="51">
        <f>BHP[[#This Row],[qtyDist2025]]*BHP[[#This Row],[hargaSatuan]]</f>
        <v>191168.82352941178</v>
      </c>
      <c r="N648" s="50">
        <v>0</v>
      </c>
      <c r="O648" s="51">
        <f>BHP[[#This Row],[qtyEd2025]]*BHP[[#This Row],[hargaSatuan]]</f>
        <v>0</v>
      </c>
      <c r="P648" s="50">
        <f>BHP[[#This Row],[qtySaldoAwalSem1]]+BHP[[#This Row],[qtyTerima2025]]-(BHP[[#This Row],[qtyDist2025]]+BHP[[#This Row],[qtyEd2025]])</f>
        <v>430</v>
      </c>
      <c r="Q648" s="52">
        <f>BHP[[#This Row],[qtySaldoAkhir2025]]*BHP[[#This Row],[hargaSatuan]]</f>
        <v>252931.05882352943</v>
      </c>
      <c r="S648" s="32">
        <f t="shared" si="18"/>
        <v>252931.05882352943</v>
      </c>
      <c r="T648" s="32">
        <f t="shared" si="19"/>
        <v>0</v>
      </c>
    </row>
    <row r="649" spans="1:20" ht="14.4" x14ac:dyDescent="0.3">
      <c r="A649" s="44">
        <v>53</v>
      </c>
      <c r="B649" s="45" t="s">
        <v>798</v>
      </c>
      <c r="C649" s="46" t="s">
        <v>752</v>
      </c>
      <c r="D649" s="47">
        <v>80123</v>
      </c>
      <c r="E649" s="87">
        <v>46753</v>
      </c>
      <c r="F649" s="49">
        <v>560.25</v>
      </c>
      <c r="G649" s="45" t="s">
        <v>54</v>
      </c>
      <c r="H649" s="50">
        <v>65</v>
      </c>
      <c r="I649" s="49">
        <f>BHP[[#This Row],[qtySaldoAwalSem1]]*BHP[[#This Row],[hargaSatuan]]</f>
        <v>36416.25</v>
      </c>
      <c r="J649" s="50">
        <v>0</v>
      </c>
      <c r="K649" s="51">
        <f>BHP[[#This Row],[qtyTerima2025]]*BHP[[#This Row],[hargaSatuan]]</f>
        <v>0</v>
      </c>
      <c r="L649" s="50">
        <v>65</v>
      </c>
      <c r="M649" s="51">
        <f>BHP[[#This Row],[qtyDist2025]]*BHP[[#This Row],[hargaSatuan]]</f>
        <v>36416.25</v>
      </c>
      <c r="N649" s="50">
        <v>0</v>
      </c>
      <c r="O649" s="51">
        <f>BHP[[#This Row],[qtyEd2025]]*BHP[[#This Row],[hargaSatuan]]</f>
        <v>0</v>
      </c>
      <c r="P649" s="50">
        <f>BHP[[#This Row],[qtySaldoAwalSem1]]+BHP[[#This Row],[qtyTerima2025]]-(BHP[[#This Row],[qtyDist2025]]+BHP[[#This Row],[qtyEd2025]])</f>
        <v>0</v>
      </c>
      <c r="Q649" s="52">
        <f>BHP[[#This Row],[qtySaldoAkhir2025]]*BHP[[#This Row],[hargaSatuan]]</f>
        <v>0</v>
      </c>
      <c r="S649" s="32">
        <f t="shared" ref="S649:S712" si="20">IFERROR(I649+K649-(M649+O649),0)</f>
        <v>0</v>
      </c>
      <c r="T649" s="32">
        <f t="shared" ref="T649:T712" si="21">IFERROR(Q649-S649,0)</f>
        <v>0</v>
      </c>
    </row>
    <row r="650" spans="1:20" ht="14.4" x14ac:dyDescent="0.3">
      <c r="A650" s="44">
        <v>54</v>
      </c>
      <c r="B650" s="45" t="s">
        <v>798</v>
      </c>
      <c r="C650" s="46" t="s">
        <v>752</v>
      </c>
      <c r="D650" s="47">
        <v>80123</v>
      </c>
      <c r="E650" s="87">
        <v>46753</v>
      </c>
      <c r="F650" s="49">
        <v>560.49</v>
      </c>
      <c r="G650" s="45" t="s">
        <v>54</v>
      </c>
      <c r="H650" s="50">
        <v>95</v>
      </c>
      <c r="I650" s="49">
        <f>BHP[[#This Row],[qtySaldoAwalSem1]]*BHP[[#This Row],[hargaSatuan]]</f>
        <v>53246.55</v>
      </c>
      <c r="J650" s="50">
        <v>0</v>
      </c>
      <c r="K650" s="51">
        <f>BHP[[#This Row],[qtyTerima2025]]*BHP[[#This Row],[hargaSatuan]]</f>
        <v>0</v>
      </c>
      <c r="L650" s="50">
        <v>95</v>
      </c>
      <c r="M650" s="51">
        <f>BHP[[#This Row],[qtyDist2025]]*BHP[[#This Row],[hargaSatuan]]</f>
        <v>53246.55</v>
      </c>
      <c r="N650" s="50">
        <v>0</v>
      </c>
      <c r="O650" s="51">
        <f>BHP[[#This Row],[qtyEd2025]]*BHP[[#This Row],[hargaSatuan]]</f>
        <v>0</v>
      </c>
      <c r="P650" s="50">
        <f>BHP[[#This Row],[qtySaldoAwalSem1]]+BHP[[#This Row],[qtyTerima2025]]-(BHP[[#This Row],[qtyDist2025]]+BHP[[#This Row],[qtyEd2025]])</f>
        <v>0</v>
      </c>
      <c r="Q650" s="52">
        <f>BHP[[#This Row],[qtySaldoAkhir2025]]*BHP[[#This Row],[hargaSatuan]]</f>
        <v>0</v>
      </c>
      <c r="S650" s="32">
        <f t="shared" si="20"/>
        <v>0</v>
      </c>
      <c r="T650" s="32">
        <f t="shared" si="21"/>
        <v>0</v>
      </c>
    </row>
    <row r="651" spans="1:20" ht="14.4" x14ac:dyDescent="0.3">
      <c r="A651" s="44">
        <v>55</v>
      </c>
      <c r="B651" s="45" t="s">
        <v>799</v>
      </c>
      <c r="C651" s="46" t="s">
        <v>752</v>
      </c>
      <c r="D651" s="47">
        <v>310322</v>
      </c>
      <c r="E651" s="87">
        <v>46447</v>
      </c>
      <c r="F651" s="49">
        <v>603.79999999999995</v>
      </c>
      <c r="G651" s="45" t="s">
        <v>54</v>
      </c>
      <c r="H651" s="50">
        <v>425</v>
      </c>
      <c r="I651" s="49">
        <f>BHP[[#This Row],[qtySaldoAwalSem1]]*BHP[[#This Row],[hargaSatuan]]</f>
        <v>256614.99999999997</v>
      </c>
      <c r="J651" s="50">
        <v>0</v>
      </c>
      <c r="K651" s="51">
        <f>BHP[[#This Row],[qtyTerima2025]]*BHP[[#This Row],[hargaSatuan]]</f>
        <v>0</v>
      </c>
      <c r="L651" s="50">
        <v>165</v>
      </c>
      <c r="M651" s="51">
        <f>BHP[[#This Row],[qtyDist2025]]*BHP[[#This Row],[hargaSatuan]]</f>
        <v>99626.999999999985</v>
      </c>
      <c r="N651" s="50">
        <v>0</v>
      </c>
      <c r="O651" s="51">
        <f>BHP[[#This Row],[qtyEd2025]]*BHP[[#This Row],[hargaSatuan]]</f>
        <v>0</v>
      </c>
      <c r="P651" s="50">
        <f>BHP[[#This Row],[qtySaldoAwalSem1]]+BHP[[#This Row],[qtyTerima2025]]-(BHP[[#This Row],[qtyDist2025]]+BHP[[#This Row],[qtyEd2025]])</f>
        <v>260</v>
      </c>
      <c r="Q651" s="52">
        <f>BHP[[#This Row],[qtySaldoAkhir2025]]*BHP[[#This Row],[hargaSatuan]]</f>
        <v>156988</v>
      </c>
      <c r="S651" s="32">
        <f t="shared" si="20"/>
        <v>156988</v>
      </c>
      <c r="T651" s="32">
        <f t="shared" si="21"/>
        <v>0</v>
      </c>
    </row>
    <row r="652" spans="1:20" ht="28.8" x14ac:dyDescent="0.3">
      <c r="A652" s="44">
        <v>56</v>
      </c>
      <c r="B652" s="90" t="s">
        <v>800</v>
      </c>
      <c r="C652" s="46" t="s">
        <v>752</v>
      </c>
      <c r="D652" s="47" t="s">
        <v>801</v>
      </c>
      <c r="E652" s="48">
        <v>47515</v>
      </c>
      <c r="F652" s="49">
        <v>57500</v>
      </c>
      <c r="G652" s="45" t="s">
        <v>49</v>
      </c>
      <c r="H652" s="50">
        <v>0</v>
      </c>
      <c r="I652" s="49">
        <f>BHP[[#This Row],[qtySaldoAwalSem1]]*BHP[[#This Row],[hargaSatuan]]</f>
        <v>0</v>
      </c>
      <c r="J652" s="50">
        <v>600</v>
      </c>
      <c r="K652" s="51">
        <f>BHP[[#This Row],[qtyTerima2025]]*BHP[[#This Row],[hargaSatuan]]</f>
        <v>34500000</v>
      </c>
      <c r="L652" s="50">
        <v>323</v>
      </c>
      <c r="M652" s="51">
        <f>BHP[[#This Row],[qtyDist2025]]*BHP[[#This Row],[hargaSatuan]]</f>
        <v>18572500</v>
      </c>
      <c r="N652" s="50">
        <v>0</v>
      </c>
      <c r="O652" s="51">
        <v>0</v>
      </c>
      <c r="P652" s="50">
        <f>BHP[[#This Row],[qtySaldoAwalSem1]]+BHP[[#This Row],[qtyTerima2025]]-(BHP[[#This Row],[qtyDist2025]]+BHP[[#This Row],[qtyEd2025]])</f>
        <v>277</v>
      </c>
      <c r="Q652" s="52">
        <f>BHP[[#This Row],[qtySaldoAkhir2025]]*BHP[[#This Row],[hargaSatuan]]</f>
        <v>15927500</v>
      </c>
      <c r="S652" s="32">
        <f t="shared" si="20"/>
        <v>15927500</v>
      </c>
      <c r="T652" s="32">
        <f t="shared" si="21"/>
        <v>0</v>
      </c>
    </row>
    <row r="653" spans="1:20" ht="28.8" x14ac:dyDescent="0.3">
      <c r="A653" s="44">
        <v>57</v>
      </c>
      <c r="B653" s="45" t="s">
        <v>800</v>
      </c>
      <c r="C653" s="46" t="s">
        <v>752</v>
      </c>
      <c r="D653" s="47" t="s">
        <v>802</v>
      </c>
      <c r="E653" s="87">
        <v>46296</v>
      </c>
      <c r="F653" s="49">
        <v>61999.99</v>
      </c>
      <c r="G653" s="45" t="s">
        <v>49</v>
      </c>
      <c r="H653" s="50">
        <v>0</v>
      </c>
      <c r="I653" s="49">
        <f>BHP[[#This Row],[qtySaldoAwalSem1]]*BHP[[#This Row],[hargaSatuan]]</f>
        <v>0</v>
      </c>
      <c r="J653" s="50">
        <v>300</v>
      </c>
      <c r="K653" s="51">
        <f>BHP[[#This Row],[qtyTerima2025]]*BHP[[#This Row],[hargaSatuan]]</f>
        <v>18599997</v>
      </c>
      <c r="L653" s="50">
        <v>0</v>
      </c>
      <c r="M653" s="51">
        <f>BHP[[#This Row],[qtyDist2025]]*BHP[[#This Row],[hargaSatuan]]</f>
        <v>0</v>
      </c>
      <c r="N653" s="50">
        <v>0</v>
      </c>
      <c r="O653" s="51">
        <v>0</v>
      </c>
      <c r="P653" s="50">
        <f>BHP[[#This Row],[qtySaldoAwalSem1]]+BHP[[#This Row],[qtyTerima2025]]-(BHP[[#This Row],[qtyDist2025]]+BHP[[#This Row],[qtyEd2025]])</f>
        <v>300</v>
      </c>
      <c r="Q653" s="52">
        <f>BHP[[#This Row],[qtySaldoAkhir2025]]*BHP[[#This Row],[hargaSatuan]]</f>
        <v>18599997</v>
      </c>
      <c r="S653" s="32">
        <f t="shared" si="20"/>
        <v>18599997</v>
      </c>
      <c r="T653" s="32">
        <f t="shared" si="21"/>
        <v>0</v>
      </c>
    </row>
    <row r="654" spans="1:20" ht="28.8" x14ac:dyDescent="0.3">
      <c r="A654" s="44">
        <v>58</v>
      </c>
      <c r="B654" s="45" t="s">
        <v>803</v>
      </c>
      <c r="C654" s="46" t="s">
        <v>752</v>
      </c>
      <c r="D654" s="47" t="s">
        <v>804</v>
      </c>
      <c r="E654" s="87">
        <v>46204</v>
      </c>
      <c r="F654" s="49">
        <v>58852.5</v>
      </c>
      <c r="G654" s="45" t="s">
        <v>49</v>
      </c>
      <c r="H654" s="50">
        <v>0</v>
      </c>
      <c r="I654" s="49">
        <f>BHP[[#This Row],[qtySaldoAwalSem1]]*BHP[[#This Row],[hargaSatuan]]</f>
        <v>0</v>
      </c>
      <c r="J654" s="50">
        <v>492</v>
      </c>
      <c r="K654" s="51">
        <f>BHP[[#This Row],[qtyTerima2025]]*BHP[[#This Row],[hargaSatuan]]</f>
        <v>28955430</v>
      </c>
      <c r="L654" s="50">
        <v>355</v>
      </c>
      <c r="M654" s="51">
        <f>BHP[[#This Row],[qtyDist2025]]*BHP[[#This Row],[hargaSatuan]]</f>
        <v>20892637.5</v>
      </c>
      <c r="N654" s="50">
        <v>0</v>
      </c>
      <c r="O654" s="51">
        <v>0</v>
      </c>
      <c r="P654" s="50">
        <f>BHP[[#This Row],[qtySaldoAwalSem1]]+BHP[[#This Row],[qtyTerima2025]]-(BHP[[#This Row],[qtyDist2025]]+BHP[[#This Row],[qtyEd2025]])</f>
        <v>137</v>
      </c>
      <c r="Q654" s="52">
        <f>BHP[[#This Row],[qtySaldoAkhir2025]]*BHP[[#This Row],[hargaSatuan]]</f>
        <v>8062792.5</v>
      </c>
      <c r="S654" s="32">
        <f t="shared" si="20"/>
        <v>8062792.5</v>
      </c>
      <c r="T654" s="32">
        <f t="shared" si="21"/>
        <v>0</v>
      </c>
    </row>
    <row r="655" spans="1:20" ht="28.8" x14ac:dyDescent="0.3">
      <c r="A655" s="44">
        <v>59</v>
      </c>
      <c r="B655" s="45" t="s">
        <v>803</v>
      </c>
      <c r="C655" s="46" t="s">
        <v>752</v>
      </c>
      <c r="D655" s="47" t="s">
        <v>805</v>
      </c>
      <c r="E655" s="91">
        <v>47484</v>
      </c>
      <c r="F655" s="49">
        <v>61050.01</v>
      </c>
      <c r="G655" s="45" t="s">
        <v>49</v>
      </c>
      <c r="H655" s="50">
        <v>0</v>
      </c>
      <c r="I655" s="49">
        <f>BHP[[#This Row],[qtySaldoAwalSem1]]*BHP[[#This Row],[hargaSatuan]]</f>
        <v>0</v>
      </c>
      <c r="J655" s="50">
        <v>180</v>
      </c>
      <c r="K655" s="51">
        <f>BHP[[#This Row],[qtyTerima2025]]*BHP[[#This Row],[hargaSatuan]]</f>
        <v>10989001.800000001</v>
      </c>
      <c r="L655" s="50">
        <v>0</v>
      </c>
      <c r="M655" s="51">
        <f>BHP[[#This Row],[qtyDist2025]]*BHP[[#This Row],[hargaSatuan]]</f>
        <v>0</v>
      </c>
      <c r="N655" s="50">
        <v>0</v>
      </c>
      <c r="O655" s="51">
        <v>0</v>
      </c>
      <c r="P655" s="50">
        <f>BHP[[#This Row],[qtySaldoAwalSem1]]+BHP[[#This Row],[qtyTerima2025]]-(BHP[[#This Row],[qtyDist2025]]+BHP[[#This Row],[qtyEd2025]])</f>
        <v>180</v>
      </c>
      <c r="Q655" s="52">
        <f>BHP[[#This Row],[qtySaldoAkhir2025]]*BHP[[#This Row],[hargaSatuan]]</f>
        <v>10989001.800000001</v>
      </c>
      <c r="S655" s="32">
        <f t="shared" si="20"/>
        <v>10989001.800000001</v>
      </c>
      <c r="T655" s="32">
        <f t="shared" si="21"/>
        <v>0</v>
      </c>
    </row>
    <row r="656" spans="1:20" ht="14.4" x14ac:dyDescent="0.3">
      <c r="A656" s="44">
        <v>60</v>
      </c>
      <c r="B656" s="45" t="s">
        <v>803</v>
      </c>
      <c r="C656" s="46" t="s">
        <v>752</v>
      </c>
      <c r="D656" s="47" t="s">
        <v>804</v>
      </c>
      <c r="E656" s="92">
        <v>47727</v>
      </c>
      <c r="F656" s="49">
        <v>61050.01</v>
      </c>
      <c r="G656" s="45" t="s">
        <v>36</v>
      </c>
      <c r="H656" s="50">
        <v>0</v>
      </c>
      <c r="I656" s="49">
        <f>BHP[[#This Row],[qtySaldoAwalSem1]]*BHP[[#This Row],[hargaSatuan]]</f>
        <v>0</v>
      </c>
      <c r="J656" s="50">
        <v>120</v>
      </c>
      <c r="K656" s="51">
        <f>BHP[[#This Row],[qtyTerima2025]]*BHP[[#This Row],[hargaSatuan]]</f>
        <v>7326001.2000000002</v>
      </c>
      <c r="L656" s="50">
        <v>0</v>
      </c>
      <c r="M656" s="51">
        <f>BHP[[#This Row],[qtyDist2025]]*BHP[[#This Row],[hargaSatuan]]</f>
        <v>0</v>
      </c>
      <c r="N656" s="50">
        <v>0</v>
      </c>
      <c r="O656" s="51">
        <v>0</v>
      </c>
      <c r="P656" s="50">
        <f>BHP[[#This Row],[qtySaldoAwalSem1]]+BHP[[#This Row],[qtyTerima2025]]-(BHP[[#This Row],[qtyDist2025]]+BHP[[#This Row],[qtyEd2025]])</f>
        <v>120</v>
      </c>
      <c r="Q656" s="52">
        <f>BHP[[#This Row],[qtySaldoAkhir2025]]*BHP[[#This Row],[hargaSatuan]]</f>
        <v>7326001.2000000002</v>
      </c>
      <c r="S656" s="32">
        <f t="shared" si="20"/>
        <v>7326001.2000000002</v>
      </c>
      <c r="T656" s="32">
        <f t="shared" si="21"/>
        <v>0</v>
      </c>
    </row>
    <row r="657" spans="1:20" ht="28.8" x14ac:dyDescent="0.3">
      <c r="A657" s="44">
        <v>61</v>
      </c>
      <c r="B657" s="45" t="s">
        <v>806</v>
      </c>
      <c r="C657" s="46" t="s">
        <v>752</v>
      </c>
      <c r="D657" s="47">
        <v>250302</v>
      </c>
      <c r="E657" s="48">
        <v>47515</v>
      </c>
      <c r="F657" s="49">
        <v>44669.25</v>
      </c>
      <c r="G657" s="45" t="s">
        <v>49</v>
      </c>
      <c r="H657" s="50">
        <v>0</v>
      </c>
      <c r="I657" s="49">
        <f>BHP[[#This Row],[qtySaldoAwalSem1]]*BHP[[#This Row],[hargaSatuan]]</f>
        <v>0</v>
      </c>
      <c r="J657" s="50">
        <v>192</v>
      </c>
      <c r="K657" s="51">
        <f>BHP[[#This Row],[qtyTerima2025]]*BHP[[#This Row],[hargaSatuan]]</f>
        <v>8576496</v>
      </c>
      <c r="L657" s="50">
        <v>166</v>
      </c>
      <c r="M657" s="51">
        <f>BHP[[#This Row],[qtyDist2025]]*BHP[[#This Row],[hargaSatuan]]</f>
        <v>7415095.5</v>
      </c>
      <c r="N657" s="50">
        <v>0</v>
      </c>
      <c r="O657" s="51">
        <v>0</v>
      </c>
      <c r="P657" s="50">
        <f>BHP[[#This Row],[qtySaldoAwalSem1]]+BHP[[#This Row],[qtyTerima2025]]-(BHP[[#This Row],[qtyDist2025]]+BHP[[#This Row],[qtyEd2025]])</f>
        <v>26</v>
      </c>
      <c r="Q657" s="52">
        <f>BHP[[#This Row],[qtySaldoAkhir2025]]*BHP[[#This Row],[hargaSatuan]]</f>
        <v>1161400.5</v>
      </c>
      <c r="S657" s="32">
        <f t="shared" si="20"/>
        <v>1161400.5</v>
      </c>
      <c r="T657" s="32">
        <f t="shared" si="21"/>
        <v>0</v>
      </c>
    </row>
    <row r="658" spans="1:20" ht="14.4" x14ac:dyDescent="0.3">
      <c r="A658" s="44">
        <v>62</v>
      </c>
      <c r="B658" s="45" t="s">
        <v>806</v>
      </c>
      <c r="C658" s="46" t="s">
        <v>752</v>
      </c>
      <c r="D658" s="47">
        <v>2012588</v>
      </c>
      <c r="E658" s="48">
        <v>47483</v>
      </c>
      <c r="F658" s="49">
        <v>3741.1109999999999</v>
      </c>
      <c r="G658" s="45" t="s">
        <v>41</v>
      </c>
      <c r="H658" s="50">
        <v>0</v>
      </c>
      <c r="I658" s="49">
        <f>BHP[[#This Row],[qtySaldoAwalSem1]]*BHP[[#This Row],[hargaSatuan]]</f>
        <v>0</v>
      </c>
      <c r="J658" s="50">
        <v>5400</v>
      </c>
      <c r="K658" s="51">
        <f>BHP[[#This Row],[qtyTerima2025]]*BHP[[#This Row],[hargaSatuan]]</f>
        <v>20201999.399999999</v>
      </c>
      <c r="L658" s="50">
        <v>0</v>
      </c>
      <c r="M658" s="51">
        <f>BHP[[#This Row],[qtyDist2025]]*BHP[[#This Row],[hargaSatuan]]</f>
        <v>0</v>
      </c>
      <c r="N658" s="50">
        <v>0</v>
      </c>
      <c r="O658" s="51">
        <v>0</v>
      </c>
      <c r="P658" s="50">
        <f>BHP[[#This Row],[qtySaldoAwalSem1]]+BHP[[#This Row],[qtyTerima2025]]-(BHP[[#This Row],[qtyDist2025]]+BHP[[#This Row],[qtyEd2025]])</f>
        <v>5400</v>
      </c>
      <c r="Q658" s="52">
        <f>BHP[[#This Row],[qtySaldoAkhir2025]]*BHP[[#This Row],[hargaSatuan]]</f>
        <v>20201999.399999999</v>
      </c>
      <c r="S658" s="32">
        <f t="shared" si="20"/>
        <v>20201999.399999999</v>
      </c>
      <c r="T658" s="32">
        <f t="shared" si="21"/>
        <v>0</v>
      </c>
    </row>
    <row r="659" spans="1:20" ht="14.4" x14ac:dyDescent="0.3">
      <c r="A659" s="44">
        <v>63</v>
      </c>
      <c r="B659" s="45" t="s">
        <v>807</v>
      </c>
      <c r="C659" s="46" t="s">
        <v>778</v>
      </c>
      <c r="D659" s="47" t="s">
        <v>808</v>
      </c>
      <c r="E659" s="87">
        <v>47300</v>
      </c>
      <c r="F659" s="49">
        <v>57500</v>
      </c>
      <c r="G659" s="45" t="s">
        <v>41</v>
      </c>
      <c r="H659" s="50">
        <v>0</v>
      </c>
      <c r="I659" s="49">
        <f>BHP[[#This Row],[qtySaldoAwalSem1]]*BHP[[#This Row],[hargaSatuan]]</f>
        <v>0</v>
      </c>
      <c r="J659" s="50">
        <v>600</v>
      </c>
      <c r="K659" s="51">
        <f>BHP[[#This Row],[qtyTerima2025]]*BHP[[#This Row],[hargaSatuan]]</f>
        <v>34500000</v>
      </c>
      <c r="L659" s="50">
        <v>513</v>
      </c>
      <c r="M659" s="51">
        <f>BHP[[#This Row],[qtyDist2025]]*BHP[[#This Row],[hargaSatuan]]</f>
        <v>29497500</v>
      </c>
      <c r="N659" s="50">
        <v>0</v>
      </c>
      <c r="O659" s="51">
        <v>0</v>
      </c>
      <c r="P659" s="50">
        <f>BHP[[#This Row],[qtySaldoAwalSem1]]+BHP[[#This Row],[qtyTerima2025]]-(BHP[[#This Row],[qtyDist2025]]+BHP[[#This Row],[qtyEd2025]])</f>
        <v>87</v>
      </c>
      <c r="Q659" s="52">
        <f>BHP[[#This Row],[qtySaldoAkhir2025]]*BHP[[#This Row],[hargaSatuan]]</f>
        <v>5002500</v>
      </c>
      <c r="S659" s="32">
        <f t="shared" si="20"/>
        <v>5002500</v>
      </c>
      <c r="T659" s="32">
        <f t="shared" si="21"/>
        <v>0</v>
      </c>
    </row>
    <row r="660" spans="1:20" ht="14.4" x14ac:dyDescent="0.3">
      <c r="A660" s="44">
        <v>64</v>
      </c>
      <c r="B660" s="45" t="s">
        <v>800</v>
      </c>
      <c r="C660" s="46" t="s">
        <v>752</v>
      </c>
      <c r="D660" s="47">
        <v>2207153</v>
      </c>
      <c r="E660" s="48">
        <v>46661</v>
      </c>
      <c r="F660" s="49">
        <v>7081.25</v>
      </c>
      <c r="G660" s="88" t="s">
        <v>40</v>
      </c>
      <c r="H660" s="50">
        <v>0</v>
      </c>
      <c r="I660" s="49">
        <f>BHP[[#This Row],[qtySaldoAwalSem1]]*BHP[[#This Row],[hargaSatuan]]</f>
        <v>0</v>
      </c>
      <c r="J660" s="50">
        <v>480</v>
      </c>
      <c r="K660" s="51">
        <f>BHP[[#This Row],[qtyTerima2025]]*BHP[[#This Row],[hargaSatuan]]</f>
        <v>3399000</v>
      </c>
      <c r="L660" s="50">
        <v>124</v>
      </c>
      <c r="M660" s="51">
        <f>BHP[[#This Row],[qtyDist2025]]*BHP[[#This Row],[hargaSatuan]]</f>
        <v>878075</v>
      </c>
      <c r="N660" s="50">
        <v>0</v>
      </c>
      <c r="O660" s="51">
        <v>0</v>
      </c>
      <c r="P660" s="50">
        <f>BHP[[#This Row],[qtySaldoAwalSem1]]+BHP[[#This Row],[qtyTerima2025]]-(BHP[[#This Row],[qtyDist2025]]+BHP[[#This Row],[qtyEd2025]])</f>
        <v>356</v>
      </c>
      <c r="Q660" s="52">
        <f>BHP[[#This Row],[qtySaldoAkhir2025]]*BHP[[#This Row],[hargaSatuan]]</f>
        <v>2520925</v>
      </c>
      <c r="S660" s="32">
        <f t="shared" si="20"/>
        <v>2520925</v>
      </c>
      <c r="T660" s="32">
        <f t="shared" si="21"/>
        <v>0</v>
      </c>
    </row>
    <row r="661" spans="1:20" ht="14.4" x14ac:dyDescent="0.3">
      <c r="A661" s="44">
        <v>65</v>
      </c>
      <c r="B661" s="45" t="s">
        <v>809</v>
      </c>
      <c r="C661" s="46" t="s">
        <v>752</v>
      </c>
      <c r="D661" s="47"/>
      <c r="E661" s="48"/>
      <c r="F661" s="49">
        <v>38784</v>
      </c>
      <c r="G661" s="45" t="s">
        <v>50</v>
      </c>
      <c r="H661" s="50">
        <v>5</v>
      </c>
      <c r="I661" s="49">
        <f>BHP[[#This Row],[qtySaldoAwalSem1]]*BHP[[#This Row],[hargaSatuan]]</f>
        <v>193920</v>
      </c>
      <c r="J661" s="50">
        <v>0</v>
      </c>
      <c r="K661" s="51">
        <f>BHP[[#This Row],[qtyTerima2025]]*BHP[[#This Row],[hargaSatuan]]</f>
        <v>0</v>
      </c>
      <c r="L661" s="50">
        <v>0</v>
      </c>
      <c r="M661" s="51">
        <f>BHP[[#This Row],[qtyDist2025]]*BHP[[#This Row],[hargaSatuan]]</f>
        <v>0</v>
      </c>
      <c r="N661" s="50">
        <v>0</v>
      </c>
      <c r="O661" s="51">
        <f>BHP[[#This Row],[qtyEd2025]]*BHP[[#This Row],[hargaSatuan]]</f>
        <v>0</v>
      </c>
      <c r="P661" s="50">
        <f>BHP[[#This Row],[qtySaldoAwalSem1]]+BHP[[#This Row],[qtyTerima2025]]-(BHP[[#This Row],[qtyDist2025]]+BHP[[#This Row],[qtyEd2025]])</f>
        <v>5</v>
      </c>
      <c r="Q661" s="52">
        <f>BHP[[#This Row],[qtySaldoAkhir2025]]*BHP[[#This Row],[hargaSatuan]]</f>
        <v>193920</v>
      </c>
      <c r="S661" s="32">
        <f t="shared" si="20"/>
        <v>193920</v>
      </c>
      <c r="T661" s="32">
        <f t="shared" si="21"/>
        <v>0</v>
      </c>
    </row>
    <row r="662" spans="1:20" ht="14.4" x14ac:dyDescent="0.3">
      <c r="A662" s="44">
        <v>66</v>
      </c>
      <c r="B662" s="45" t="s">
        <v>810</v>
      </c>
      <c r="C662" s="46" t="s">
        <v>752</v>
      </c>
      <c r="D662" s="47"/>
      <c r="E662" s="48"/>
      <c r="F662" s="49">
        <v>25000</v>
      </c>
      <c r="G662" s="45" t="s">
        <v>69</v>
      </c>
      <c r="H662" s="50">
        <v>15</v>
      </c>
      <c r="I662" s="49">
        <f>BHP[[#This Row],[qtySaldoAwalSem1]]*BHP[[#This Row],[hargaSatuan]]</f>
        <v>375000</v>
      </c>
      <c r="J662" s="50">
        <v>0</v>
      </c>
      <c r="K662" s="51">
        <f>BHP[[#This Row],[qtyTerima2025]]*BHP[[#This Row],[hargaSatuan]]</f>
        <v>0</v>
      </c>
      <c r="L662" s="50">
        <v>0</v>
      </c>
      <c r="M662" s="51">
        <f>BHP[[#This Row],[qtyDist2025]]*BHP[[#This Row],[hargaSatuan]]</f>
        <v>0</v>
      </c>
      <c r="N662" s="50">
        <v>0</v>
      </c>
      <c r="O662" s="51">
        <f>BHP[[#This Row],[qtyEd2025]]*BHP[[#This Row],[hargaSatuan]]</f>
        <v>0</v>
      </c>
      <c r="P662" s="50">
        <f>BHP[[#This Row],[qtySaldoAwalSem1]]+BHP[[#This Row],[qtyTerima2025]]-(BHP[[#This Row],[qtyDist2025]]+BHP[[#This Row],[qtyEd2025]])</f>
        <v>15</v>
      </c>
      <c r="Q662" s="52">
        <f>BHP[[#This Row],[qtySaldoAkhir2025]]*BHP[[#This Row],[hargaSatuan]]</f>
        <v>375000</v>
      </c>
      <c r="S662" s="32">
        <f t="shared" si="20"/>
        <v>375000</v>
      </c>
      <c r="T662" s="32">
        <f t="shared" si="21"/>
        <v>0</v>
      </c>
    </row>
    <row r="663" spans="1:20" ht="14.4" x14ac:dyDescent="0.3">
      <c r="A663" s="44">
        <v>67</v>
      </c>
      <c r="B663" s="45" t="s">
        <v>811</v>
      </c>
      <c r="C663" s="46" t="s">
        <v>752</v>
      </c>
      <c r="D663" s="47">
        <v>10112288</v>
      </c>
      <c r="E663" s="48">
        <v>46661</v>
      </c>
      <c r="F663" s="49">
        <v>10365</v>
      </c>
      <c r="G663" s="45" t="s">
        <v>17</v>
      </c>
      <c r="H663" s="50">
        <v>509</v>
      </c>
      <c r="I663" s="49">
        <f>BHP[[#This Row],[qtySaldoAwalSem1]]*BHP[[#This Row],[hargaSatuan]]</f>
        <v>5275785</v>
      </c>
      <c r="J663" s="50">
        <v>0</v>
      </c>
      <c r="K663" s="51">
        <f>BHP[[#This Row],[qtyTerima2025]]*BHP[[#This Row],[hargaSatuan]]</f>
        <v>0</v>
      </c>
      <c r="L663" s="50">
        <v>322</v>
      </c>
      <c r="M663" s="51">
        <f>BHP[[#This Row],[qtyDist2025]]*BHP[[#This Row],[hargaSatuan]]</f>
        <v>3337530</v>
      </c>
      <c r="N663" s="50">
        <v>0</v>
      </c>
      <c r="O663" s="51">
        <f>BHP[[#This Row],[qtyEd2025]]*BHP[[#This Row],[hargaSatuan]]</f>
        <v>0</v>
      </c>
      <c r="P663" s="50">
        <f>BHP[[#This Row],[qtySaldoAwalSem1]]+BHP[[#This Row],[qtyTerima2025]]-(BHP[[#This Row],[qtyDist2025]]+BHP[[#This Row],[qtyEd2025]])</f>
        <v>187</v>
      </c>
      <c r="Q663" s="52">
        <f>BHP[[#This Row],[qtySaldoAkhir2025]]*BHP[[#This Row],[hargaSatuan]]</f>
        <v>1938255</v>
      </c>
      <c r="S663" s="32">
        <f t="shared" si="20"/>
        <v>1938255</v>
      </c>
      <c r="T663" s="32">
        <f t="shared" si="21"/>
        <v>0</v>
      </c>
    </row>
    <row r="664" spans="1:20" ht="14.4" x14ac:dyDescent="0.3">
      <c r="A664" s="44">
        <v>68</v>
      </c>
      <c r="B664" s="45" t="s">
        <v>812</v>
      </c>
      <c r="C664" s="46" t="s">
        <v>752</v>
      </c>
      <c r="D664" s="47">
        <v>2012388</v>
      </c>
      <c r="E664" s="48">
        <v>46722</v>
      </c>
      <c r="F664" s="49">
        <v>10365</v>
      </c>
      <c r="G664" s="45" t="s">
        <v>17</v>
      </c>
      <c r="H664" s="50">
        <v>500</v>
      </c>
      <c r="I664" s="49">
        <f>BHP[[#This Row],[qtySaldoAwalSem1]]*BHP[[#This Row],[hargaSatuan]]</f>
        <v>5182500</v>
      </c>
      <c r="J664" s="50">
        <v>0</v>
      </c>
      <c r="K664" s="51">
        <f>BHP[[#This Row],[qtyTerima2025]]*BHP[[#This Row],[hargaSatuan]]</f>
        <v>0</v>
      </c>
      <c r="L664" s="50">
        <v>168</v>
      </c>
      <c r="M664" s="51">
        <f>BHP[[#This Row],[qtyDist2025]]*BHP[[#This Row],[hargaSatuan]]</f>
        <v>1741320</v>
      </c>
      <c r="N664" s="50">
        <v>0</v>
      </c>
      <c r="O664" s="51">
        <f>BHP[[#This Row],[qtyEd2025]]*BHP[[#This Row],[hargaSatuan]]</f>
        <v>0</v>
      </c>
      <c r="P664" s="50">
        <f>BHP[[#This Row],[qtySaldoAwalSem1]]+BHP[[#This Row],[qtyTerima2025]]-(BHP[[#This Row],[qtyDist2025]]+BHP[[#This Row],[qtyEd2025]])</f>
        <v>332</v>
      </c>
      <c r="Q664" s="52">
        <f>BHP[[#This Row],[qtySaldoAkhir2025]]*BHP[[#This Row],[hargaSatuan]]</f>
        <v>3441180</v>
      </c>
      <c r="S664" s="32">
        <f t="shared" si="20"/>
        <v>3441180</v>
      </c>
      <c r="T664" s="32">
        <f t="shared" si="21"/>
        <v>0</v>
      </c>
    </row>
    <row r="665" spans="1:20" ht="14.4" x14ac:dyDescent="0.3">
      <c r="A665" s="44">
        <v>69</v>
      </c>
      <c r="B665" s="45" t="s">
        <v>812</v>
      </c>
      <c r="C665" s="46" t="s">
        <v>752</v>
      </c>
      <c r="D665" s="47">
        <v>15122288</v>
      </c>
      <c r="E665" s="87">
        <v>46692</v>
      </c>
      <c r="F665" s="49">
        <v>10365</v>
      </c>
      <c r="G665" s="45" t="s">
        <v>17</v>
      </c>
      <c r="H665" s="50">
        <v>94</v>
      </c>
      <c r="I665" s="49">
        <f>BHP[[#This Row],[qtySaldoAwalSem1]]*BHP[[#This Row],[hargaSatuan]]</f>
        <v>974310</v>
      </c>
      <c r="J665" s="50">
        <v>0</v>
      </c>
      <c r="K665" s="51">
        <f>BHP[[#This Row],[qtyTerima2025]]*BHP[[#This Row],[hargaSatuan]]</f>
        <v>0</v>
      </c>
      <c r="L665" s="50">
        <v>94</v>
      </c>
      <c r="M665" s="51">
        <f>BHP[[#This Row],[qtyDist2025]]*BHP[[#This Row],[hargaSatuan]]</f>
        <v>974310</v>
      </c>
      <c r="N665" s="50">
        <v>0</v>
      </c>
      <c r="O665" s="51">
        <f>BHP[[#This Row],[qtyEd2025]]*BHP[[#This Row],[hargaSatuan]]</f>
        <v>0</v>
      </c>
      <c r="P665" s="50">
        <f>BHP[[#This Row],[qtySaldoAwalSem1]]+BHP[[#This Row],[qtyTerima2025]]-(BHP[[#This Row],[qtyDist2025]]+BHP[[#This Row],[qtyEd2025]])</f>
        <v>0</v>
      </c>
      <c r="Q665" s="52">
        <f>BHP[[#This Row],[qtySaldoAkhir2025]]*BHP[[#This Row],[hargaSatuan]]</f>
        <v>0</v>
      </c>
      <c r="S665" s="32">
        <f t="shared" si="20"/>
        <v>0</v>
      </c>
      <c r="T665" s="32">
        <f t="shared" si="21"/>
        <v>0</v>
      </c>
    </row>
    <row r="666" spans="1:20" ht="14.4" x14ac:dyDescent="0.3">
      <c r="A666" s="44">
        <v>70</v>
      </c>
      <c r="B666" s="45" t="s">
        <v>813</v>
      </c>
      <c r="C666" s="46" t="s">
        <v>38</v>
      </c>
      <c r="D666" s="47">
        <v>23112288</v>
      </c>
      <c r="E666" s="48">
        <v>45931</v>
      </c>
      <c r="F666" s="49">
        <v>74758.5</v>
      </c>
      <c r="G666" s="45" t="s">
        <v>66</v>
      </c>
      <c r="H666" s="50">
        <v>396</v>
      </c>
      <c r="I666" s="49">
        <f>BHP[[#This Row],[qtySaldoAwalSem1]]*BHP[[#This Row],[hargaSatuan]]</f>
        <v>29604366</v>
      </c>
      <c r="J666" s="50">
        <v>0</v>
      </c>
      <c r="K666" s="51">
        <f>BHP[[#This Row],[qtyTerima2025]]*BHP[[#This Row],[hargaSatuan]]</f>
        <v>0</v>
      </c>
      <c r="L666" s="50">
        <v>396</v>
      </c>
      <c r="M666" s="51">
        <f>BHP[[#This Row],[qtyDist2025]]*BHP[[#This Row],[hargaSatuan]]</f>
        <v>29604366</v>
      </c>
      <c r="N666" s="50">
        <v>0</v>
      </c>
      <c r="O666" s="51">
        <f>BHP[[#This Row],[qtyEd2025]]*BHP[[#This Row],[hargaSatuan]]</f>
        <v>0</v>
      </c>
      <c r="P666" s="50">
        <f>BHP[[#This Row],[qtySaldoAwalSem1]]+BHP[[#This Row],[qtyTerima2025]]-(BHP[[#This Row],[qtyDist2025]]+BHP[[#This Row],[qtyEd2025]])</f>
        <v>0</v>
      </c>
      <c r="Q666" s="52">
        <f>BHP[[#This Row],[qtySaldoAkhir2025]]*BHP[[#This Row],[hargaSatuan]]</f>
        <v>0</v>
      </c>
      <c r="S666" s="32">
        <f t="shared" si="20"/>
        <v>0</v>
      </c>
      <c r="T666" s="32">
        <f t="shared" si="21"/>
        <v>0</v>
      </c>
    </row>
    <row r="667" spans="1:20" ht="14.4" x14ac:dyDescent="0.3">
      <c r="A667" s="44">
        <v>71</v>
      </c>
      <c r="B667" s="45" t="s">
        <v>813</v>
      </c>
      <c r="C667" s="46" t="s">
        <v>38</v>
      </c>
      <c r="D667" s="47"/>
      <c r="E667" s="48"/>
      <c r="F667" s="49">
        <v>54506</v>
      </c>
      <c r="G667" s="45" t="s">
        <v>17</v>
      </c>
      <c r="H667" s="50">
        <v>63</v>
      </c>
      <c r="I667" s="49">
        <f>BHP[[#This Row],[qtySaldoAwalSem1]]*BHP[[#This Row],[hargaSatuan]]</f>
        <v>3433878</v>
      </c>
      <c r="J667" s="50">
        <v>0</v>
      </c>
      <c r="K667" s="51">
        <f>BHP[[#This Row],[qtyTerima2025]]*BHP[[#This Row],[hargaSatuan]]</f>
        <v>0</v>
      </c>
      <c r="L667" s="50">
        <v>63</v>
      </c>
      <c r="M667" s="51">
        <f>BHP[[#This Row],[qtyDist2025]]*BHP[[#This Row],[hargaSatuan]]</f>
        <v>3433878</v>
      </c>
      <c r="N667" s="50">
        <v>0</v>
      </c>
      <c r="O667" s="51">
        <f>BHP[[#This Row],[qtyEd2025]]*BHP[[#This Row],[hargaSatuan]]</f>
        <v>0</v>
      </c>
      <c r="P667" s="50">
        <f>BHP[[#This Row],[qtySaldoAwalSem1]]+BHP[[#This Row],[qtyTerima2025]]-(BHP[[#This Row],[qtyDist2025]]+BHP[[#This Row],[qtyEd2025]])</f>
        <v>0</v>
      </c>
      <c r="Q667" s="52">
        <f>BHP[[#This Row],[qtySaldoAkhir2025]]*BHP[[#This Row],[hargaSatuan]]</f>
        <v>0</v>
      </c>
      <c r="S667" s="32">
        <f t="shared" si="20"/>
        <v>0</v>
      </c>
      <c r="T667" s="32">
        <f t="shared" si="21"/>
        <v>0</v>
      </c>
    </row>
    <row r="668" spans="1:20" ht="14.4" x14ac:dyDescent="0.3">
      <c r="A668" s="44">
        <v>72</v>
      </c>
      <c r="B668" s="45" t="s">
        <v>814</v>
      </c>
      <c r="C668" s="46" t="s">
        <v>752</v>
      </c>
      <c r="D668" s="47" t="s">
        <v>815</v>
      </c>
      <c r="E668" s="92">
        <v>46813</v>
      </c>
      <c r="F668" s="49">
        <v>7892</v>
      </c>
      <c r="G668" s="45" t="s">
        <v>17</v>
      </c>
      <c r="H668" s="50">
        <v>450</v>
      </c>
      <c r="I668" s="49">
        <f>BHP[[#This Row],[qtySaldoAwalSem1]]*BHP[[#This Row],[hargaSatuan]]</f>
        <v>3551400</v>
      </c>
      <c r="J668" s="50">
        <v>0</v>
      </c>
      <c r="K668" s="51">
        <f>BHP[[#This Row],[qtyTerima2025]]*BHP[[#This Row],[hargaSatuan]]</f>
        <v>0</v>
      </c>
      <c r="L668" s="50">
        <v>450</v>
      </c>
      <c r="M668" s="51">
        <f>BHP[[#This Row],[qtyDist2025]]*BHP[[#This Row],[hargaSatuan]]</f>
        <v>3551400</v>
      </c>
      <c r="N668" s="50">
        <v>0</v>
      </c>
      <c r="O668" s="51">
        <f>BHP[[#This Row],[qtyEd2025]]*BHP[[#This Row],[hargaSatuan]]</f>
        <v>0</v>
      </c>
      <c r="P668" s="50">
        <f>BHP[[#This Row],[qtySaldoAwalSem1]]+BHP[[#This Row],[qtyTerima2025]]-(BHP[[#This Row],[qtyDist2025]]+BHP[[#This Row],[qtyEd2025]])</f>
        <v>0</v>
      </c>
      <c r="Q668" s="52">
        <f>BHP[[#This Row],[qtySaldoAkhir2025]]*BHP[[#This Row],[hargaSatuan]]</f>
        <v>0</v>
      </c>
      <c r="S668" s="32">
        <f t="shared" si="20"/>
        <v>0</v>
      </c>
      <c r="T668" s="32">
        <f t="shared" si="21"/>
        <v>0</v>
      </c>
    </row>
    <row r="669" spans="1:20" ht="14.4" x14ac:dyDescent="0.3">
      <c r="A669" s="44">
        <v>73</v>
      </c>
      <c r="B669" s="45" t="s">
        <v>814</v>
      </c>
      <c r="C669" s="46" t="s">
        <v>752</v>
      </c>
      <c r="D669" s="47" t="s">
        <v>816</v>
      </c>
      <c r="E669" s="87">
        <v>46935</v>
      </c>
      <c r="F669" s="49">
        <v>7892</v>
      </c>
      <c r="G669" s="45" t="s">
        <v>17</v>
      </c>
      <c r="H669" s="50">
        <v>1840</v>
      </c>
      <c r="I669" s="49">
        <f>BHP[[#This Row],[qtySaldoAwalSem1]]*BHP[[#This Row],[hargaSatuan]]</f>
        <v>14521280</v>
      </c>
      <c r="J669" s="50">
        <v>0</v>
      </c>
      <c r="K669" s="51">
        <f>BHP[[#This Row],[qtyTerima2025]]*BHP[[#This Row],[hargaSatuan]]</f>
        <v>0</v>
      </c>
      <c r="L669" s="50">
        <v>930</v>
      </c>
      <c r="M669" s="51">
        <f>BHP[[#This Row],[qtyDist2025]]*BHP[[#This Row],[hargaSatuan]]</f>
        <v>7339560</v>
      </c>
      <c r="N669" s="50">
        <v>0</v>
      </c>
      <c r="O669" s="51">
        <f>BHP[[#This Row],[qtyEd2025]]*BHP[[#This Row],[hargaSatuan]]</f>
        <v>0</v>
      </c>
      <c r="P669" s="50">
        <f>BHP[[#This Row],[qtySaldoAwalSem1]]+BHP[[#This Row],[qtyTerima2025]]-(BHP[[#This Row],[qtyDist2025]]+BHP[[#This Row],[qtyEd2025]])</f>
        <v>910</v>
      </c>
      <c r="Q669" s="52">
        <f>BHP[[#This Row],[qtySaldoAkhir2025]]*BHP[[#This Row],[hargaSatuan]]</f>
        <v>7181720</v>
      </c>
      <c r="S669" s="32">
        <f t="shared" si="20"/>
        <v>7181720</v>
      </c>
      <c r="T669" s="32">
        <f t="shared" si="21"/>
        <v>0</v>
      </c>
    </row>
    <row r="670" spans="1:20" ht="14.4" x14ac:dyDescent="0.3">
      <c r="A670" s="44">
        <v>74</v>
      </c>
      <c r="B670" s="45" t="s">
        <v>817</v>
      </c>
      <c r="C670" s="46" t="s">
        <v>752</v>
      </c>
      <c r="D670" s="47" t="s">
        <v>818</v>
      </c>
      <c r="E670" s="87">
        <v>46813</v>
      </c>
      <c r="F670" s="49">
        <v>7890</v>
      </c>
      <c r="G670" s="45" t="s">
        <v>54</v>
      </c>
      <c r="H670" s="50">
        <v>20</v>
      </c>
      <c r="I670" s="49">
        <f>BHP[[#This Row],[qtySaldoAwalSem1]]*BHP[[#This Row],[hargaSatuan]]</f>
        <v>157800</v>
      </c>
      <c r="J670" s="50">
        <v>0</v>
      </c>
      <c r="K670" s="51">
        <f>BHP[[#This Row],[qtyTerima2025]]*BHP[[#This Row],[hargaSatuan]]</f>
        <v>0</v>
      </c>
      <c r="L670" s="50">
        <v>20</v>
      </c>
      <c r="M670" s="51">
        <f>BHP[[#This Row],[qtyDist2025]]*BHP[[#This Row],[hargaSatuan]]</f>
        <v>157800</v>
      </c>
      <c r="N670" s="50">
        <v>0</v>
      </c>
      <c r="O670" s="51">
        <f>BHP[[#This Row],[qtyEd2025]]*BHP[[#This Row],[hargaSatuan]]</f>
        <v>0</v>
      </c>
      <c r="P670" s="50">
        <f>BHP[[#This Row],[qtySaldoAwalSem1]]+BHP[[#This Row],[qtyTerima2025]]-(BHP[[#This Row],[qtyDist2025]]+BHP[[#This Row],[qtyEd2025]])</f>
        <v>0</v>
      </c>
      <c r="Q670" s="52">
        <f>BHP[[#This Row],[qtySaldoAkhir2025]]*BHP[[#This Row],[hargaSatuan]]</f>
        <v>0</v>
      </c>
      <c r="S670" s="32">
        <f t="shared" si="20"/>
        <v>0</v>
      </c>
      <c r="T670" s="32">
        <f t="shared" si="21"/>
        <v>0</v>
      </c>
    </row>
    <row r="671" spans="1:20" ht="14.4" x14ac:dyDescent="0.3">
      <c r="A671" s="44">
        <v>75</v>
      </c>
      <c r="B671" s="45" t="s">
        <v>817</v>
      </c>
      <c r="C671" s="46" t="s">
        <v>752</v>
      </c>
      <c r="D671" s="47" t="s">
        <v>819</v>
      </c>
      <c r="E671" s="87">
        <v>47452</v>
      </c>
      <c r="F671" s="49">
        <v>6683</v>
      </c>
      <c r="G671" s="45" t="s">
        <v>41</v>
      </c>
      <c r="H671" s="50">
        <v>0</v>
      </c>
      <c r="I671" s="49">
        <f>BHP[[#This Row],[qtySaldoAwalSem1]]*BHP[[#This Row],[hargaSatuan]]</f>
        <v>0</v>
      </c>
      <c r="J671" s="50">
        <v>2000</v>
      </c>
      <c r="K671" s="51">
        <f>BHP[[#This Row],[qtyTerima2025]]*BHP[[#This Row],[hargaSatuan]]</f>
        <v>13366000</v>
      </c>
      <c r="L671" s="50">
        <v>1450</v>
      </c>
      <c r="M671" s="51">
        <f>BHP[[#This Row],[qtyDist2025]]*BHP[[#This Row],[hargaSatuan]]</f>
        <v>9690350</v>
      </c>
      <c r="N671" s="50">
        <v>0</v>
      </c>
      <c r="O671" s="51">
        <v>0</v>
      </c>
      <c r="P671" s="50">
        <f>BHP[[#This Row],[qtySaldoAwalSem1]]+BHP[[#This Row],[qtyTerima2025]]-(BHP[[#This Row],[qtyDist2025]]+BHP[[#This Row],[qtyEd2025]])</f>
        <v>550</v>
      </c>
      <c r="Q671" s="52">
        <f>BHP[[#This Row],[qtySaldoAkhir2025]]*BHP[[#This Row],[hargaSatuan]]</f>
        <v>3675650</v>
      </c>
      <c r="S671" s="32">
        <f t="shared" si="20"/>
        <v>3675650</v>
      </c>
      <c r="T671" s="32">
        <f t="shared" si="21"/>
        <v>0</v>
      </c>
    </row>
    <row r="672" spans="1:20" ht="14.4" x14ac:dyDescent="0.3">
      <c r="A672" s="44">
        <v>76</v>
      </c>
      <c r="B672" s="45" t="s">
        <v>820</v>
      </c>
      <c r="C672" s="46" t="s">
        <v>752</v>
      </c>
      <c r="D672" s="47" t="s">
        <v>821</v>
      </c>
      <c r="E672" s="48">
        <v>46966</v>
      </c>
      <c r="F672" s="49">
        <v>7892</v>
      </c>
      <c r="G672" s="45" t="s">
        <v>54</v>
      </c>
      <c r="H672" s="50">
        <v>15</v>
      </c>
      <c r="I672" s="49">
        <f>BHP[[#This Row],[qtySaldoAwalSem1]]*BHP[[#This Row],[hargaSatuan]]</f>
        <v>118380</v>
      </c>
      <c r="J672" s="50">
        <v>0</v>
      </c>
      <c r="K672" s="51">
        <f>BHP[[#This Row],[qtyTerima2025]]*BHP[[#This Row],[hargaSatuan]]</f>
        <v>0</v>
      </c>
      <c r="L672" s="50">
        <v>15</v>
      </c>
      <c r="M672" s="51">
        <f>BHP[[#This Row],[qtyDist2025]]*BHP[[#This Row],[hargaSatuan]]</f>
        <v>118380</v>
      </c>
      <c r="N672" s="50">
        <v>0</v>
      </c>
      <c r="O672" s="51">
        <f>BHP[[#This Row],[qtyEd2025]]*BHP[[#This Row],[hargaSatuan]]</f>
        <v>0</v>
      </c>
      <c r="P672" s="50">
        <f>BHP[[#This Row],[qtySaldoAwalSem1]]+BHP[[#This Row],[qtyTerima2025]]-(BHP[[#This Row],[qtyDist2025]]+BHP[[#This Row],[qtyEd2025]])</f>
        <v>0</v>
      </c>
      <c r="Q672" s="52">
        <f>BHP[[#This Row],[qtySaldoAkhir2025]]*BHP[[#This Row],[hargaSatuan]]</f>
        <v>0</v>
      </c>
      <c r="S672" s="32">
        <f t="shared" si="20"/>
        <v>0</v>
      </c>
      <c r="T672" s="32">
        <f t="shared" si="21"/>
        <v>0</v>
      </c>
    </row>
    <row r="673" spans="1:20" ht="14.4" x14ac:dyDescent="0.3">
      <c r="A673" s="44">
        <v>77</v>
      </c>
      <c r="B673" s="45" t="s">
        <v>820</v>
      </c>
      <c r="C673" s="46" t="s">
        <v>752</v>
      </c>
      <c r="D673" s="47" t="s">
        <v>822</v>
      </c>
      <c r="E673" s="48">
        <v>46966</v>
      </c>
      <c r="F673" s="49">
        <v>7892</v>
      </c>
      <c r="G673" s="45" t="s">
        <v>17</v>
      </c>
      <c r="H673" s="50">
        <v>3665</v>
      </c>
      <c r="I673" s="49">
        <f>BHP[[#This Row],[qtySaldoAwalSem1]]*BHP[[#This Row],[hargaSatuan]]</f>
        <v>28924180</v>
      </c>
      <c r="J673" s="50">
        <v>0</v>
      </c>
      <c r="K673" s="51">
        <f>BHP[[#This Row],[qtyTerima2025]]*BHP[[#This Row],[hargaSatuan]]</f>
        <v>0</v>
      </c>
      <c r="L673" s="50">
        <v>3665</v>
      </c>
      <c r="M673" s="51">
        <f>BHP[[#This Row],[qtyDist2025]]*BHP[[#This Row],[hargaSatuan]]</f>
        <v>28924180</v>
      </c>
      <c r="N673" s="50">
        <v>0</v>
      </c>
      <c r="O673" s="51">
        <f>BHP[[#This Row],[qtyEd2025]]*BHP[[#This Row],[hargaSatuan]]</f>
        <v>0</v>
      </c>
      <c r="P673" s="50">
        <f>BHP[[#This Row],[qtySaldoAwalSem1]]+BHP[[#This Row],[qtyTerima2025]]-(BHP[[#This Row],[qtyDist2025]]+BHP[[#This Row],[qtyEd2025]])</f>
        <v>0</v>
      </c>
      <c r="Q673" s="52">
        <f>BHP[[#This Row],[qtySaldoAkhir2025]]*BHP[[#This Row],[hargaSatuan]]</f>
        <v>0</v>
      </c>
      <c r="S673" s="32">
        <f t="shared" si="20"/>
        <v>0</v>
      </c>
      <c r="T673" s="32">
        <f t="shared" si="21"/>
        <v>0</v>
      </c>
    </row>
    <row r="674" spans="1:20" ht="14.4" x14ac:dyDescent="0.3">
      <c r="A674" s="44">
        <v>78</v>
      </c>
      <c r="B674" s="45" t="s">
        <v>823</v>
      </c>
      <c r="C674" s="46" t="s">
        <v>752</v>
      </c>
      <c r="D674" s="47" t="s">
        <v>824</v>
      </c>
      <c r="E674" s="87">
        <v>46905</v>
      </c>
      <c r="F674" s="49">
        <v>7890</v>
      </c>
      <c r="G674" s="45" t="s">
        <v>54</v>
      </c>
      <c r="H674" s="50">
        <v>3320</v>
      </c>
      <c r="I674" s="49">
        <f>BHP[[#This Row],[qtySaldoAwalSem1]]*BHP[[#This Row],[hargaSatuan]]</f>
        <v>26194800</v>
      </c>
      <c r="J674" s="50">
        <v>0</v>
      </c>
      <c r="K674" s="51">
        <f>BHP[[#This Row],[qtyTerima2025]]*BHP[[#This Row],[hargaSatuan]]</f>
        <v>0</v>
      </c>
      <c r="L674" s="50">
        <v>3285</v>
      </c>
      <c r="M674" s="51">
        <f>BHP[[#This Row],[qtyDist2025]]*BHP[[#This Row],[hargaSatuan]]</f>
        <v>25918650</v>
      </c>
      <c r="N674" s="50">
        <v>0</v>
      </c>
      <c r="O674" s="51">
        <f>BHP[[#This Row],[qtyEd2025]]*BHP[[#This Row],[hargaSatuan]]</f>
        <v>0</v>
      </c>
      <c r="P674" s="50">
        <f>BHP[[#This Row],[qtySaldoAwalSem1]]+BHP[[#This Row],[qtyTerima2025]]-(BHP[[#This Row],[qtyDist2025]]+BHP[[#This Row],[qtyEd2025]])</f>
        <v>35</v>
      </c>
      <c r="Q674" s="52">
        <f>BHP[[#This Row],[qtySaldoAkhir2025]]*BHP[[#This Row],[hargaSatuan]]</f>
        <v>276150</v>
      </c>
      <c r="S674" s="32">
        <f t="shared" si="20"/>
        <v>276150</v>
      </c>
      <c r="T674" s="32">
        <f t="shared" si="21"/>
        <v>0</v>
      </c>
    </row>
    <row r="675" spans="1:20" ht="14.4" x14ac:dyDescent="0.3">
      <c r="A675" s="44">
        <v>79</v>
      </c>
      <c r="B675" s="45" t="s">
        <v>825</v>
      </c>
      <c r="C675" s="46" t="s">
        <v>752</v>
      </c>
      <c r="D675" s="47" t="s">
        <v>826</v>
      </c>
      <c r="E675" s="87">
        <v>47452</v>
      </c>
      <c r="F675" s="49">
        <v>6683</v>
      </c>
      <c r="G675" s="45" t="s">
        <v>41</v>
      </c>
      <c r="H675" s="50">
        <v>0</v>
      </c>
      <c r="I675" s="49">
        <f>BHP[[#This Row],[qtySaldoAwalSem1]]*BHP[[#This Row],[hargaSatuan]]</f>
        <v>0</v>
      </c>
      <c r="J675" s="50">
        <v>2000</v>
      </c>
      <c r="K675" s="51">
        <f>BHP[[#This Row],[qtyTerima2025]]*BHP[[#This Row],[hargaSatuan]]</f>
        <v>13366000</v>
      </c>
      <c r="L675" s="50">
        <v>1555</v>
      </c>
      <c r="M675" s="51">
        <f>BHP[[#This Row],[qtyDist2025]]*BHP[[#This Row],[hargaSatuan]]</f>
        <v>10392065</v>
      </c>
      <c r="N675" s="50">
        <v>0</v>
      </c>
      <c r="O675" s="51">
        <v>0</v>
      </c>
      <c r="P675" s="50">
        <f>BHP[[#This Row],[qtySaldoAwalSem1]]+BHP[[#This Row],[qtyTerima2025]]-(BHP[[#This Row],[qtyDist2025]]+BHP[[#This Row],[qtyEd2025]])</f>
        <v>445</v>
      </c>
      <c r="Q675" s="52">
        <f>BHP[[#This Row],[qtySaldoAkhir2025]]*BHP[[#This Row],[hargaSatuan]]</f>
        <v>2973935</v>
      </c>
      <c r="S675" s="32">
        <f t="shared" si="20"/>
        <v>2973935</v>
      </c>
      <c r="T675" s="32">
        <f t="shared" si="21"/>
        <v>0</v>
      </c>
    </row>
    <row r="676" spans="1:20" ht="14.4" x14ac:dyDescent="0.3">
      <c r="A676" s="44">
        <v>80</v>
      </c>
      <c r="B676" s="45" t="s">
        <v>827</v>
      </c>
      <c r="C676" s="46" t="s">
        <v>752</v>
      </c>
      <c r="D676" s="47" t="s">
        <v>828</v>
      </c>
      <c r="E676" s="87">
        <v>47178</v>
      </c>
      <c r="F676" s="49">
        <v>10878</v>
      </c>
      <c r="G676" s="45" t="s">
        <v>54</v>
      </c>
      <c r="H676" s="50">
        <v>150</v>
      </c>
      <c r="I676" s="49">
        <f>BHP[[#This Row],[qtySaldoAwalSem1]]*BHP[[#This Row],[hargaSatuan]]</f>
        <v>1631700</v>
      </c>
      <c r="J676" s="50">
        <v>0</v>
      </c>
      <c r="K676" s="51">
        <f>BHP[[#This Row],[qtyTerima2025]]*BHP[[#This Row],[hargaSatuan]]</f>
        <v>0</v>
      </c>
      <c r="L676" s="50">
        <v>150</v>
      </c>
      <c r="M676" s="51">
        <f>BHP[[#This Row],[qtyDist2025]]*BHP[[#This Row],[hargaSatuan]]</f>
        <v>1631700</v>
      </c>
      <c r="N676" s="50">
        <v>0</v>
      </c>
      <c r="O676" s="51">
        <f>BHP[[#This Row],[qtyEd2025]]*BHP[[#This Row],[hargaSatuan]]</f>
        <v>0</v>
      </c>
      <c r="P676" s="50">
        <f>BHP[[#This Row],[qtySaldoAwalSem1]]+BHP[[#This Row],[qtyTerima2025]]-(BHP[[#This Row],[qtyDist2025]]+BHP[[#This Row],[qtyEd2025]])</f>
        <v>0</v>
      </c>
      <c r="Q676" s="52">
        <f>BHP[[#This Row],[qtySaldoAkhir2025]]*BHP[[#This Row],[hargaSatuan]]</f>
        <v>0</v>
      </c>
      <c r="S676" s="32">
        <f t="shared" si="20"/>
        <v>0</v>
      </c>
      <c r="T676" s="32">
        <f t="shared" si="21"/>
        <v>0</v>
      </c>
    </row>
    <row r="677" spans="1:20" ht="14.4" x14ac:dyDescent="0.3">
      <c r="A677" s="44">
        <v>81</v>
      </c>
      <c r="B677" s="45" t="s">
        <v>829</v>
      </c>
      <c r="C677" s="46" t="s">
        <v>752</v>
      </c>
      <c r="D677" s="47">
        <v>30062388</v>
      </c>
      <c r="E677" s="48">
        <v>46874</v>
      </c>
      <c r="F677" s="49">
        <v>3650</v>
      </c>
      <c r="G677" s="45" t="s">
        <v>17</v>
      </c>
      <c r="H677" s="50">
        <v>58</v>
      </c>
      <c r="I677" s="49">
        <f>BHP[[#This Row],[qtySaldoAwalSem1]]*BHP[[#This Row],[hargaSatuan]]</f>
        <v>211700</v>
      </c>
      <c r="J677" s="50">
        <v>0</v>
      </c>
      <c r="K677" s="51">
        <f>BHP[[#This Row],[qtyTerima2025]]*BHP[[#This Row],[hargaSatuan]]</f>
        <v>0</v>
      </c>
      <c r="L677" s="50">
        <v>58</v>
      </c>
      <c r="M677" s="51">
        <f>BHP[[#This Row],[qtyDist2025]]*BHP[[#This Row],[hargaSatuan]]</f>
        <v>211700</v>
      </c>
      <c r="N677" s="50">
        <v>0</v>
      </c>
      <c r="O677" s="51">
        <f>BHP[[#This Row],[qtyEd2025]]*BHP[[#This Row],[hargaSatuan]]</f>
        <v>0</v>
      </c>
      <c r="P677" s="50">
        <f>BHP[[#This Row],[qtySaldoAwalSem1]]+BHP[[#This Row],[qtyTerima2025]]-(BHP[[#This Row],[qtyDist2025]]+BHP[[#This Row],[qtyEd2025]])</f>
        <v>0</v>
      </c>
      <c r="Q677" s="52">
        <f>BHP[[#This Row],[qtySaldoAkhir2025]]*BHP[[#This Row],[hargaSatuan]]</f>
        <v>0</v>
      </c>
      <c r="S677" s="32">
        <f t="shared" si="20"/>
        <v>0</v>
      </c>
      <c r="T677" s="32">
        <f t="shared" si="21"/>
        <v>0</v>
      </c>
    </row>
    <row r="678" spans="1:20" ht="14.4" x14ac:dyDescent="0.3">
      <c r="A678" s="44">
        <v>82</v>
      </c>
      <c r="B678" s="45" t="s">
        <v>829</v>
      </c>
      <c r="C678" s="46" t="s">
        <v>752</v>
      </c>
      <c r="D678" s="47">
        <v>1042488</v>
      </c>
      <c r="E678" s="87">
        <v>47178</v>
      </c>
      <c r="F678" s="49">
        <v>4000</v>
      </c>
      <c r="G678" s="45" t="s">
        <v>54</v>
      </c>
      <c r="H678" s="50">
        <v>3000</v>
      </c>
      <c r="I678" s="49">
        <f>BHP[[#This Row],[qtySaldoAwalSem1]]*BHP[[#This Row],[hargaSatuan]]</f>
        <v>12000000</v>
      </c>
      <c r="J678" s="50">
        <v>0</v>
      </c>
      <c r="K678" s="51">
        <f>BHP[[#This Row],[qtyTerima2025]]*BHP[[#This Row],[hargaSatuan]]</f>
        <v>0</v>
      </c>
      <c r="L678" s="50">
        <v>1485</v>
      </c>
      <c r="M678" s="51">
        <f>BHP[[#This Row],[qtyDist2025]]*BHP[[#This Row],[hargaSatuan]]</f>
        <v>5940000</v>
      </c>
      <c r="N678" s="50">
        <v>0</v>
      </c>
      <c r="O678" s="51">
        <f>BHP[[#This Row],[qtyEd2025]]*BHP[[#This Row],[hargaSatuan]]</f>
        <v>0</v>
      </c>
      <c r="P678" s="50">
        <f>BHP[[#This Row],[qtySaldoAwalSem1]]+BHP[[#This Row],[qtyTerima2025]]-(BHP[[#This Row],[qtyDist2025]]+BHP[[#This Row],[qtyEd2025]])</f>
        <v>1515</v>
      </c>
      <c r="Q678" s="52">
        <f>BHP[[#This Row],[qtySaldoAkhir2025]]*BHP[[#This Row],[hargaSatuan]]</f>
        <v>6060000</v>
      </c>
      <c r="S678" s="32">
        <f t="shared" si="20"/>
        <v>6060000</v>
      </c>
      <c r="T678" s="32">
        <f t="shared" si="21"/>
        <v>0</v>
      </c>
    </row>
    <row r="679" spans="1:20" ht="14.4" x14ac:dyDescent="0.3">
      <c r="A679" s="44">
        <v>83</v>
      </c>
      <c r="B679" s="45" t="s">
        <v>830</v>
      </c>
      <c r="C679" s="46" t="s">
        <v>752</v>
      </c>
      <c r="D679" s="47">
        <v>1032488</v>
      </c>
      <c r="E679" s="48">
        <v>47150</v>
      </c>
      <c r="F679" s="49">
        <v>3344.23</v>
      </c>
      <c r="G679" s="45" t="s">
        <v>54</v>
      </c>
      <c r="H679" s="50">
        <v>9200</v>
      </c>
      <c r="I679" s="49">
        <f>BHP[[#This Row],[qtySaldoAwalSem1]]*BHP[[#This Row],[hargaSatuan]]</f>
        <v>30766916</v>
      </c>
      <c r="J679" s="50">
        <v>0</v>
      </c>
      <c r="K679" s="51">
        <f>BHP[[#This Row],[qtyTerima2025]]*BHP[[#This Row],[hargaSatuan]]</f>
        <v>0</v>
      </c>
      <c r="L679" s="50">
        <v>6705</v>
      </c>
      <c r="M679" s="51">
        <f>BHP[[#This Row],[qtyDist2025]]*BHP[[#This Row],[hargaSatuan]]</f>
        <v>22423062.149999999</v>
      </c>
      <c r="N679" s="50">
        <v>0</v>
      </c>
      <c r="O679" s="51">
        <f>BHP[[#This Row],[qtyEd2025]]*BHP[[#This Row],[hargaSatuan]]</f>
        <v>0</v>
      </c>
      <c r="P679" s="50">
        <f>BHP[[#This Row],[qtySaldoAwalSem1]]+BHP[[#This Row],[qtyTerima2025]]-(BHP[[#This Row],[qtyDist2025]]+BHP[[#This Row],[qtyEd2025]])</f>
        <v>2495</v>
      </c>
      <c r="Q679" s="52">
        <f>BHP[[#This Row],[qtySaldoAkhir2025]]*BHP[[#This Row],[hargaSatuan]]</f>
        <v>8343853.8499999996</v>
      </c>
      <c r="S679" s="32">
        <f t="shared" si="20"/>
        <v>8343853.8500000015</v>
      </c>
      <c r="T679" s="32">
        <f t="shared" si="21"/>
        <v>-1.862645149230957E-9</v>
      </c>
    </row>
    <row r="680" spans="1:20" ht="14.4" x14ac:dyDescent="0.3">
      <c r="A680" s="44">
        <v>84</v>
      </c>
      <c r="B680" s="45" t="s">
        <v>831</v>
      </c>
      <c r="C680" s="46" t="s">
        <v>529</v>
      </c>
      <c r="D680" s="47">
        <v>81223881</v>
      </c>
      <c r="E680" s="48">
        <v>46143</v>
      </c>
      <c r="F680" s="49">
        <v>19981.330000000002</v>
      </c>
      <c r="G680" s="45" t="s">
        <v>54</v>
      </c>
      <c r="H680" s="50">
        <v>15</v>
      </c>
      <c r="I680" s="49">
        <f>BHP[[#This Row],[qtySaldoAwalSem1]]*BHP[[#This Row],[hargaSatuan]]</f>
        <v>299719.95</v>
      </c>
      <c r="J680" s="50">
        <v>0</v>
      </c>
      <c r="K680" s="51">
        <f>BHP[[#This Row],[qtyTerima2025]]*BHP[[#This Row],[hargaSatuan]]</f>
        <v>0</v>
      </c>
      <c r="L680" s="50">
        <v>15</v>
      </c>
      <c r="M680" s="51">
        <f>BHP[[#This Row],[qtyDist2025]]*BHP[[#This Row],[hargaSatuan]]</f>
        <v>299719.95</v>
      </c>
      <c r="N680" s="50">
        <v>0</v>
      </c>
      <c r="O680" s="51">
        <f>BHP[[#This Row],[qtyEd2025]]*BHP[[#This Row],[hargaSatuan]]</f>
        <v>0</v>
      </c>
      <c r="P680" s="50">
        <f>BHP[[#This Row],[qtySaldoAwalSem1]]+BHP[[#This Row],[qtyTerima2025]]-(BHP[[#This Row],[qtyDist2025]]+BHP[[#This Row],[qtyEd2025]])</f>
        <v>0</v>
      </c>
      <c r="Q680" s="52">
        <f>BHP[[#This Row],[qtySaldoAkhir2025]]*BHP[[#This Row],[hargaSatuan]]</f>
        <v>0</v>
      </c>
      <c r="S680" s="32">
        <f t="shared" si="20"/>
        <v>0</v>
      </c>
      <c r="T680" s="32">
        <f t="shared" si="21"/>
        <v>0</v>
      </c>
    </row>
    <row r="681" spans="1:20" ht="14.4" x14ac:dyDescent="0.3">
      <c r="A681" s="44">
        <v>85</v>
      </c>
      <c r="B681" s="45" t="s">
        <v>831</v>
      </c>
      <c r="C681" s="46" t="s">
        <v>529</v>
      </c>
      <c r="D681" s="47">
        <v>10052488</v>
      </c>
      <c r="E681" s="48">
        <v>46113</v>
      </c>
      <c r="F681" s="49">
        <v>16632</v>
      </c>
      <c r="G681" s="45" t="s">
        <v>54</v>
      </c>
      <c r="H681" s="50">
        <v>18</v>
      </c>
      <c r="I681" s="49">
        <f>BHP[[#This Row],[qtySaldoAwalSem1]]*BHP[[#This Row],[hargaSatuan]]</f>
        <v>299376</v>
      </c>
      <c r="J681" s="50">
        <v>0</v>
      </c>
      <c r="K681" s="51">
        <f>BHP[[#This Row],[qtyTerima2025]]*BHP[[#This Row],[hargaSatuan]]</f>
        <v>0</v>
      </c>
      <c r="L681" s="50">
        <v>18</v>
      </c>
      <c r="M681" s="51">
        <f>BHP[[#This Row],[qtyDist2025]]*BHP[[#This Row],[hargaSatuan]]</f>
        <v>299376</v>
      </c>
      <c r="N681" s="50">
        <v>0</v>
      </c>
      <c r="O681" s="51">
        <f>BHP[[#This Row],[qtyEd2025]]*BHP[[#This Row],[hargaSatuan]]</f>
        <v>0</v>
      </c>
      <c r="P681" s="50">
        <f>BHP[[#This Row],[qtySaldoAwalSem1]]+BHP[[#This Row],[qtyTerima2025]]-(BHP[[#This Row],[qtyDist2025]]+BHP[[#This Row],[qtyEd2025]])</f>
        <v>0</v>
      </c>
      <c r="Q681" s="52">
        <f>BHP[[#This Row],[qtySaldoAkhir2025]]*BHP[[#This Row],[hargaSatuan]]</f>
        <v>0</v>
      </c>
      <c r="S681" s="32">
        <f t="shared" si="20"/>
        <v>0</v>
      </c>
      <c r="T681" s="32">
        <f t="shared" si="21"/>
        <v>0</v>
      </c>
    </row>
    <row r="682" spans="1:20" ht="14.4" x14ac:dyDescent="0.3">
      <c r="A682" s="44">
        <v>86</v>
      </c>
      <c r="B682" s="45" t="s">
        <v>832</v>
      </c>
      <c r="C682" s="46" t="s">
        <v>752</v>
      </c>
      <c r="D682" s="47"/>
      <c r="E682" s="48"/>
      <c r="F682" s="49">
        <v>35000</v>
      </c>
      <c r="G682" s="45" t="s">
        <v>40</v>
      </c>
      <c r="H682" s="50">
        <v>50</v>
      </c>
      <c r="I682" s="49">
        <f>BHP[[#This Row],[qtySaldoAwalSem1]]*BHP[[#This Row],[hargaSatuan]]</f>
        <v>1750000</v>
      </c>
      <c r="J682" s="50">
        <v>0</v>
      </c>
      <c r="K682" s="51">
        <f>BHP[[#This Row],[qtyTerima2025]]*BHP[[#This Row],[hargaSatuan]]</f>
        <v>0</v>
      </c>
      <c r="L682" s="50">
        <v>0</v>
      </c>
      <c r="M682" s="51">
        <f>BHP[[#This Row],[qtyDist2025]]*BHP[[#This Row],[hargaSatuan]]</f>
        <v>0</v>
      </c>
      <c r="N682" s="50">
        <v>0</v>
      </c>
      <c r="O682" s="51">
        <f>BHP[[#This Row],[qtyEd2025]]*BHP[[#This Row],[hargaSatuan]]</f>
        <v>0</v>
      </c>
      <c r="P682" s="50">
        <f>BHP[[#This Row],[qtySaldoAwalSem1]]+BHP[[#This Row],[qtyTerima2025]]-(BHP[[#This Row],[qtyDist2025]]+BHP[[#This Row],[qtyEd2025]])</f>
        <v>50</v>
      </c>
      <c r="Q682" s="52">
        <f>BHP[[#This Row],[qtySaldoAkhir2025]]*BHP[[#This Row],[hargaSatuan]]</f>
        <v>1750000</v>
      </c>
      <c r="S682" s="32">
        <f t="shared" si="20"/>
        <v>1750000</v>
      </c>
      <c r="T682" s="32">
        <f t="shared" si="21"/>
        <v>0</v>
      </c>
    </row>
    <row r="683" spans="1:20" ht="14.4" x14ac:dyDescent="0.3">
      <c r="A683" s="44">
        <v>87</v>
      </c>
      <c r="B683" s="45" t="s">
        <v>833</v>
      </c>
      <c r="C683" s="46" t="s">
        <v>834</v>
      </c>
      <c r="D683" s="47"/>
      <c r="E683" s="48"/>
      <c r="F683" s="49">
        <v>16236</v>
      </c>
      <c r="G683" s="45" t="s">
        <v>17</v>
      </c>
      <c r="H683" s="50">
        <v>33</v>
      </c>
      <c r="I683" s="49">
        <f>BHP[[#This Row],[qtySaldoAwalSem1]]*BHP[[#This Row],[hargaSatuan]]</f>
        <v>535788</v>
      </c>
      <c r="J683" s="50">
        <v>0</v>
      </c>
      <c r="K683" s="51">
        <f>BHP[[#This Row],[qtyTerima2025]]*BHP[[#This Row],[hargaSatuan]]</f>
        <v>0</v>
      </c>
      <c r="L683" s="50">
        <v>33</v>
      </c>
      <c r="M683" s="51">
        <f>BHP[[#This Row],[qtyDist2025]]*BHP[[#This Row],[hargaSatuan]]</f>
        <v>535788</v>
      </c>
      <c r="N683" s="50">
        <v>0</v>
      </c>
      <c r="O683" s="51">
        <f>BHP[[#This Row],[qtyEd2025]]*BHP[[#This Row],[hargaSatuan]]</f>
        <v>0</v>
      </c>
      <c r="P683" s="50">
        <f>BHP[[#This Row],[qtySaldoAwalSem1]]+BHP[[#This Row],[qtyTerima2025]]-(BHP[[#This Row],[qtyDist2025]]+BHP[[#This Row],[qtyEd2025]])</f>
        <v>0</v>
      </c>
      <c r="Q683" s="52">
        <f>BHP[[#This Row],[qtySaldoAkhir2025]]*BHP[[#This Row],[hargaSatuan]]</f>
        <v>0</v>
      </c>
      <c r="S683" s="32">
        <f t="shared" si="20"/>
        <v>0</v>
      </c>
      <c r="T683" s="32">
        <f t="shared" si="21"/>
        <v>0</v>
      </c>
    </row>
    <row r="684" spans="1:20" ht="14.4" x14ac:dyDescent="0.3">
      <c r="A684" s="44">
        <v>88</v>
      </c>
      <c r="B684" s="45" t="s">
        <v>833</v>
      </c>
      <c r="C684" s="46" t="s">
        <v>834</v>
      </c>
      <c r="D684" s="47" t="s">
        <v>835</v>
      </c>
      <c r="E684" s="87">
        <v>46844</v>
      </c>
      <c r="F684" s="49">
        <v>16594.5</v>
      </c>
      <c r="G684" s="45" t="s">
        <v>54</v>
      </c>
      <c r="H684" s="50">
        <v>300</v>
      </c>
      <c r="I684" s="49">
        <f>BHP[[#This Row],[qtySaldoAwalSem1]]*BHP[[#This Row],[hargaSatuan]]</f>
        <v>4978350</v>
      </c>
      <c r="J684" s="50">
        <v>0</v>
      </c>
      <c r="K684" s="51">
        <f>BHP[[#This Row],[qtyTerima2025]]*BHP[[#This Row],[hargaSatuan]]</f>
        <v>0</v>
      </c>
      <c r="L684" s="50">
        <v>154</v>
      </c>
      <c r="M684" s="51">
        <f>BHP[[#This Row],[qtyDist2025]]*BHP[[#This Row],[hargaSatuan]]</f>
        <v>2555553</v>
      </c>
      <c r="N684" s="50">
        <v>0</v>
      </c>
      <c r="O684" s="51">
        <f>BHP[[#This Row],[qtyEd2025]]*BHP[[#This Row],[hargaSatuan]]</f>
        <v>0</v>
      </c>
      <c r="P684" s="50">
        <f>BHP[[#This Row],[qtySaldoAwalSem1]]+BHP[[#This Row],[qtyTerima2025]]-(BHP[[#This Row],[qtyDist2025]]+BHP[[#This Row],[qtyEd2025]])</f>
        <v>146</v>
      </c>
      <c r="Q684" s="52">
        <f>BHP[[#This Row],[qtySaldoAkhir2025]]*BHP[[#This Row],[hargaSatuan]]</f>
        <v>2422797</v>
      </c>
      <c r="S684" s="32">
        <f t="shared" si="20"/>
        <v>2422797</v>
      </c>
      <c r="T684" s="32">
        <f t="shared" si="21"/>
        <v>0</v>
      </c>
    </row>
    <row r="685" spans="1:20" ht="14.4" x14ac:dyDescent="0.3">
      <c r="A685" s="44">
        <v>89</v>
      </c>
      <c r="B685" s="45" t="s">
        <v>833</v>
      </c>
      <c r="C685" s="46" t="s">
        <v>834</v>
      </c>
      <c r="D685" s="47" t="s">
        <v>836</v>
      </c>
      <c r="E685" s="48">
        <v>46874</v>
      </c>
      <c r="F685" s="49">
        <v>16594.5</v>
      </c>
      <c r="G685" s="45" t="s">
        <v>54</v>
      </c>
      <c r="H685" s="50">
        <v>100</v>
      </c>
      <c r="I685" s="49">
        <f>BHP[[#This Row],[qtySaldoAwalSem1]]*BHP[[#This Row],[hargaSatuan]]</f>
        <v>1659450</v>
      </c>
      <c r="J685" s="50">
        <v>0</v>
      </c>
      <c r="K685" s="51">
        <f>BHP[[#This Row],[qtyTerima2025]]*BHP[[#This Row],[hargaSatuan]]</f>
        <v>0</v>
      </c>
      <c r="L685" s="50">
        <v>0</v>
      </c>
      <c r="M685" s="51">
        <f>BHP[[#This Row],[qtyDist2025]]*BHP[[#This Row],[hargaSatuan]]</f>
        <v>0</v>
      </c>
      <c r="N685" s="50">
        <v>0</v>
      </c>
      <c r="O685" s="51">
        <f>BHP[[#This Row],[qtyEd2025]]*BHP[[#This Row],[hargaSatuan]]</f>
        <v>0</v>
      </c>
      <c r="P685" s="50">
        <f>BHP[[#This Row],[qtySaldoAwalSem1]]+BHP[[#This Row],[qtyTerima2025]]-(BHP[[#This Row],[qtyDist2025]]+BHP[[#This Row],[qtyEd2025]])</f>
        <v>100</v>
      </c>
      <c r="Q685" s="52">
        <f>BHP[[#This Row],[qtySaldoAkhir2025]]*BHP[[#This Row],[hargaSatuan]]</f>
        <v>1659450</v>
      </c>
      <c r="S685" s="32">
        <f t="shared" si="20"/>
        <v>1659450</v>
      </c>
      <c r="T685" s="32">
        <f t="shared" si="21"/>
        <v>0</v>
      </c>
    </row>
    <row r="686" spans="1:20" ht="14.4" x14ac:dyDescent="0.3">
      <c r="A686" s="44">
        <v>90</v>
      </c>
      <c r="B686" s="45" t="s">
        <v>837</v>
      </c>
      <c r="C686" s="46" t="s">
        <v>838</v>
      </c>
      <c r="D686" s="47">
        <v>23087001</v>
      </c>
      <c r="E686" s="48"/>
      <c r="F686" s="49">
        <v>173333.33333333334</v>
      </c>
      <c r="G686" s="45" t="s">
        <v>17</v>
      </c>
      <c r="H686" s="50">
        <v>94</v>
      </c>
      <c r="I686" s="49">
        <f>BHP[[#This Row],[qtySaldoAwalSem1]]*BHP[[#This Row],[hargaSatuan]]</f>
        <v>16293333.333333334</v>
      </c>
      <c r="J686" s="50">
        <v>0</v>
      </c>
      <c r="K686" s="51">
        <f>BHP[[#This Row],[qtyTerima2025]]*BHP[[#This Row],[hargaSatuan]]</f>
        <v>0</v>
      </c>
      <c r="L686" s="50">
        <v>59</v>
      </c>
      <c r="M686" s="51">
        <f>BHP[[#This Row],[qtyDist2025]]*BHP[[#This Row],[hargaSatuan]]</f>
        <v>10226666.666666668</v>
      </c>
      <c r="N686" s="50">
        <v>0</v>
      </c>
      <c r="O686" s="51">
        <f>BHP[[#This Row],[qtyEd2025]]*BHP[[#This Row],[hargaSatuan]]</f>
        <v>0</v>
      </c>
      <c r="P686" s="50">
        <f>BHP[[#This Row],[qtySaldoAwalSem1]]+BHP[[#This Row],[qtyTerima2025]]-(BHP[[#This Row],[qtyDist2025]]+BHP[[#This Row],[qtyEd2025]])</f>
        <v>35</v>
      </c>
      <c r="Q686" s="52">
        <f>BHP[[#This Row],[qtySaldoAkhir2025]]*BHP[[#This Row],[hargaSatuan]]</f>
        <v>6066666.666666667</v>
      </c>
      <c r="S686" s="32">
        <f t="shared" si="20"/>
        <v>6066666.666666666</v>
      </c>
      <c r="T686" s="32">
        <f t="shared" si="21"/>
        <v>9.3132257461547852E-10</v>
      </c>
    </row>
    <row r="687" spans="1:20" ht="14.4" x14ac:dyDescent="0.3">
      <c r="A687" s="44">
        <v>91</v>
      </c>
      <c r="B687" s="45" t="s">
        <v>839</v>
      </c>
      <c r="C687" s="46" t="s">
        <v>752</v>
      </c>
      <c r="D687" s="47">
        <v>1082488</v>
      </c>
      <c r="E687" s="87">
        <v>47300</v>
      </c>
      <c r="F687" s="49">
        <v>1705.404</v>
      </c>
      <c r="G687" s="45" t="s">
        <v>17</v>
      </c>
      <c r="H687" s="50">
        <v>650</v>
      </c>
      <c r="I687" s="49">
        <f>BHP[[#This Row],[qtySaldoAwalSem1]]*BHP[[#This Row],[hargaSatuan]]</f>
        <v>1108512.6000000001</v>
      </c>
      <c r="J687" s="50">
        <v>0</v>
      </c>
      <c r="K687" s="51">
        <f>BHP[[#This Row],[qtyTerima2025]]*BHP[[#This Row],[hargaSatuan]]</f>
        <v>0</v>
      </c>
      <c r="L687" s="50">
        <v>650</v>
      </c>
      <c r="M687" s="51">
        <f>BHP[[#This Row],[qtyDist2025]]*BHP[[#This Row],[hargaSatuan]]</f>
        <v>1108512.6000000001</v>
      </c>
      <c r="N687" s="50">
        <v>0</v>
      </c>
      <c r="O687" s="51">
        <f>BHP[[#This Row],[qtyEd2025]]*BHP[[#This Row],[hargaSatuan]]</f>
        <v>0</v>
      </c>
      <c r="P687" s="50">
        <f>BHP[[#This Row],[qtySaldoAwalSem1]]+BHP[[#This Row],[qtyTerima2025]]-(BHP[[#This Row],[qtyDist2025]]+BHP[[#This Row],[qtyEd2025]])</f>
        <v>0</v>
      </c>
      <c r="Q687" s="52">
        <f>BHP[[#This Row],[qtySaldoAkhir2025]]*BHP[[#This Row],[hargaSatuan]]</f>
        <v>0</v>
      </c>
      <c r="S687" s="32">
        <f t="shared" si="20"/>
        <v>0</v>
      </c>
      <c r="T687" s="32">
        <f t="shared" si="21"/>
        <v>0</v>
      </c>
    </row>
    <row r="688" spans="1:20" ht="14.4" x14ac:dyDescent="0.3">
      <c r="A688" s="44">
        <v>92</v>
      </c>
      <c r="B688" s="45" t="s">
        <v>839</v>
      </c>
      <c r="C688" s="46" t="s">
        <v>752</v>
      </c>
      <c r="D688" s="47">
        <v>2092488</v>
      </c>
      <c r="E688" s="48">
        <v>47331</v>
      </c>
      <c r="F688" s="49">
        <v>1705.404</v>
      </c>
      <c r="G688" s="45" t="s">
        <v>17</v>
      </c>
      <c r="H688" s="50">
        <v>4200</v>
      </c>
      <c r="I688" s="49">
        <f>BHP[[#This Row],[qtySaldoAwalSem1]]*BHP[[#This Row],[hargaSatuan]]</f>
        <v>7162696.7999999998</v>
      </c>
      <c r="J688" s="50">
        <v>0</v>
      </c>
      <c r="K688" s="51">
        <f>BHP[[#This Row],[qtyTerima2025]]*BHP[[#This Row],[hargaSatuan]]</f>
        <v>0</v>
      </c>
      <c r="L688" s="50">
        <v>300</v>
      </c>
      <c r="M688" s="51">
        <f>BHP[[#This Row],[qtyDist2025]]*BHP[[#This Row],[hargaSatuan]]</f>
        <v>511621.2</v>
      </c>
      <c r="N688" s="50">
        <v>0</v>
      </c>
      <c r="O688" s="51">
        <f>BHP[[#This Row],[qtyEd2025]]*BHP[[#This Row],[hargaSatuan]]</f>
        <v>0</v>
      </c>
      <c r="P688" s="50">
        <f>BHP[[#This Row],[qtySaldoAwalSem1]]+BHP[[#This Row],[qtyTerima2025]]-(BHP[[#This Row],[qtyDist2025]]+BHP[[#This Row],[qtyEd2025]])</f>
        <v>3900</v>
      </c>
      <c r="Q688" s="52">
        <f>BHP[[#This Row],[qtySaldoAkhir2025]]*BHP[[#This Row],[hargaSatuan]]</f>
        <v>6651075.5999999996</v>
      </c>
      <c r="S688" s="32">
        <f t="shared" si="20"/>
        <v>6651075.5999999996</v>
      </c>
      <c r="T688" s="32">
        <f t="shared" si="21"/>
        <v>0</v>
      </c>
    </row>
    <row r="689" spans="1:20" ht="14.4" x14ac:dyDescent="0.3">
      <c r="A689" s="44">
        <v>93</v>
      </c>
      <c r="B689" s="45" t="s">
        <v>840</v>
      </c>
      <c r="C689" s="46" t="s">
        <v>838</v>
      </c>
      <c r="D689" s="47" t="s">
        <v>841</v>
      </c>
      <c r="E689" s="48"/>
      <c r="F689" s="49">
        <v>11891.111111111111</v>
      </c>
      <c r="G689" s="45" t="s">
        <v>17</v>
      </c>
      <c r="H689" s="50">
        <v>540</v>
      </c>
      <c r="I689" s="49">
        <f>BHP[[#This Row],[qtySaldoAwalSem1]]*BHP[[#This Row],[hargaSatuan]]</f>
        <v>6421200</v>
      </c>
      <c r="J689" s="50">
        <v>0</v>
      </c>
      <c r="K689" s="51">
        <f>BHP[[#This Row],[qtyTerima2025]]*BHP[[#This Row],[hargaSatuan]]</f>
        <v>0</v>
      </c>
      <c r="L689" s="50">
        <v>420</v>
      </c>
      <c r="M689" s="51">
        <f>BHP[[#This Row],[qtyDist2025]]*BHP[[#This Row],[hargaSatuan]]</f>
        <v>4994266.666666667</v>
      </c>
      <c r="N689" s="50">
        <v>0</v>
      </c>
      <c r="O689" s="51">
        <f>BHP[[#This Row],[qtyEd2025]]*BHP[[#This Row],[hargaSatuan]]</f>
        <v>0</v>
      </c>
      <c r="P689" s="50">
        <f>BHP[[#This Row],[qtySaldoAwalSem1]]+BHP[[#This Row],[qtyTerima2025]]-(BHP[[#This Row],[qtyDist2025]]+BHP[[#This Row],[qtyEd2025]])</f>
        <v>120</v>
      </c>
      <c r="Q689" s="52">
        <f>BHP[[#This Row],[qtySaldoAkhir2025]]*BHP[[#This Row],[hargaSatuan]]</f>
        <v>1426933.3333333333</v>
      </c>
      <c r="S689" s="32">
        <f t="shared" si="20"/>
        <v>1426933.333333333</v>
      </c>
      <c r="T689" s="32">
        <f t="shared" si="21"/>
        <v>2.3283064365386963E-10</v>
      </c>
    </row>
    <row r="690" spans="1:20" ht="14.4" x14ac:dyDescent="0.3">
      <c r="A690" s="44">
        <v>94</v>
      </c>
      <c r="B690" s="45" t="s">
        <v>842</v>
      </c>
      <c r="C690" s="46" t="s">
        <v>838</v>
      </c>
      <c r="D690" s="47">
        <v>30062388</v>
      </c>
      <c r="E690" s="48">
        <v>46874</v>
      </c>
      <c r="F690" s="49">
        <v>2168.3333333333335</v>
      </c>
      <c r="G690" s="45" t="s">
        <v>17</v>
      </c>
      <c r="H690" s="50">
        <v>2080</v>
      </c>
      <c r="I690" s="49">
        <f>BHP[[#This Row],[qtySaldoAwalSem1]]*BHP[[#This Row],[hargaSatuan]]</f>
        <v>4510133.333333334</v>
      </c>
      <c r="J690" s="50">
        <v>0</v>
      </c>
      <c r="K690" s="51">
        <f>BHP[[#This Row],[qtyTerima2025]]*BHP[[#This Row],[hargaSatuan]]</f>
        <v>0</v>
      </c>
      <c r="L690" s="50">
        <v>1135</v>
      </c>
      <c r="M690" s="51">
        <f>BHP[[#This Row],[qtyDist2025]]*BHP[[#This Row],[hargaSatuan]]</f>
        <v>2461058.3333333335</v>
      </c>
      <c r="N690" s="50">
        <v>0</v>
      </c>
      <c r="O690" s="51">
        <f>BHP[[#This Row],[qtyEd2025]]*BHP[[#This Row],[hargaSatuan]]</f>
        <v>0</v>
      </c>
      <c r="P690" s="50">
        <f>BHP[[#This Row],[qtySaldoAwalSem1]]+BHP[[#This Row],[qtyTerima2025]]-(BHP[[#This Row],[qtyDist2025]]+BHP[[#This Row],[qtyEd2025]])</f>
        <v>945</v>
      </c>
      <c r="Q690" s="52">
        <f>BHP[[#This Row],[qtySaldoAkhir2025]]*BHP[[#This Row],[hargaSatuan]]</f>
        <v>2049075.0000000002</v>
      </c>
      <c r="S690" s="32">
        <f t="shared" si="20"/>
        <v>2049075.0000000005</v>
      </c>
      <c r="T690" s="32">
        <f t="shared" si="21"/>
        <v>-2.3283064365386963E-10</v>
      </c>
    </row>
    <row r="691" spans="1:20" ht="14.4" x14ac:dyDescent="0.3">
      <c r="A691" s="44">
        <v>95</v>
      </c>
      <c r="B691" s="45" t="s">
        <v>843</v>
      </c>
      <c r="C691" s="46" t="s">
        <v>838</v>
      </c>
      <c r="D691" s="47">
        <v>4072388</v>
      </c>
      <c r="E691" s="87">
        <v>46905</v>
      </c>
      <c r="F691" s="49">
        <v>2958</v>
      </c>
      <c r="G691" s="45" t="s">
        <v>17</v>
      </c>
      <c r="H691" s="50">
        <v>375</v>
      </c>
      <c r="I691" s="49">
        <f>BHP[[#This Row],[qtySaldoAwalSem1]]*BHP[[#This Row],[hargaSatuan]]</f>
        <v>1109250</v>
      </c>
      <c r="J691" s="50">
        <v>0</v>
      </c>
      <c r="K691" s="51">
        <f>BHP[[#This Row],[qtyTerima2025]]*BHP[[#This Row],[hargaSatuan]]</f>
        <v>0</v>
      </c>
      <c r="L691" s="50">
        <v>375</v>
      </c>
      <c r="M691" s="51">
        <f>BHP[[#This Row],[qtyDist2025]]*BHP[[#This Row],[hargaSatuan]]</f>
        <v>1109250</v>
      </c>
      <c r="N691" s="50">
        <v>0</v>
      </c>
      <c r="O691" s="51">
        <f>BHP[[#This Row],[qtyEd2025]]*BHP[[#This Row],[hargaSatuan]]</f>
        <v>0</v>
      </c>
      <c r="P691" s="50">
        <f>BHP[[#This Row],[qtySaldoAwalSem1]]+BHP[[#This Row],[qtyTerima2025]]-(BHP[[#This Row],[qtyDist2025]]+BHP[[#This Row],[qtyEd2025]])</f>
        <v>0</v>
      </c>
      <c r="Q691" s="52">
        <f>BHP[[#This Row],[qtySaldoAkhir2025]]*BHP[[#This Row],[hargaSatuan]]</f>
        <v>0</v>
      </c>
      <c r="S691" s="32">
        <f t="shared" si="20"/>
        <v>0</v>
      </c>
      <c r="T691" s="32">
        <f t="shared" si="21"/>
        <v>0</v>
      </c>
    </row>
    <row r="692" spans="1:20" ht="14.4" x14ac:dyDescent="0.3">
      <c r="A692" s="44">
        <v>96</v>
      </c>
      <c r="B692" s="45" t="s">
        <v>843</v>
      </c>
      <c r="C692" s="46" t="s">
        <v>838</v>
      </c>
      <c r="D692" s="47">
        <v>11112388</v>
      </c>
      <c r="E692" s="48">
        <v>47027</v>
      </c>
      <c r="F692" s="49">
        <v>2882.4444444444443</v>
      </c>
      <c r="G692" s="45" t="s">
        <v>17</v>
      </c>
      <c r="H692" s="50">
        <v>22200</v>
      </c>
      <c r="I692" s="49">
        <f>BHP[[#This Row],[qtySaldoAwalSem1]]*BHP[[#This Row],[hargaSatuan]]</f>
        <v>63990266.666666664</v>
      </c>
      <c r="J692" s="50">
        <v>0</v>
      </c>
      <c r="K692" s="51">
        <f>BHP[[#This Row],[qtyTerima2025]]*BHP[[#This Row],[hargaSatuan]]</f>
        <v>0</v>
      </c>
      <c r="L692" s="50">
        <v>720</v>
      </c>
      <c r="M692" s="51">
        <f>BHP[[#This Row],[qtyDist2025]]*BHP[[#This Row],[hargaSatuan]]</f>
        <v>2075360</v>
      </c>
      <c r="N692" s="50">
        <v>0</v>
      </c>
      <c r="O692" s="51">
        <f>BHP[[#This Row],[qtyEd2025]]*BHP[[#This Row],[hargaSatuan]]</f>
        <v>0</v>
      </c>
      <c r="P692" s="50">
        <f>BHP[[#This Row],[qtySaldoAwalSem1]]+BHP[[#This Row],[qtyTerima2025]]-(BHP[[#This Row],[qtyDist2025]]+BHP[[#This Row],[qtyEd2025]])</f>
        <v>21480</v>
      </c>
      <c r="Q692" s="52">
        <f>BHP[[#This Row],[qtySaldoAkhir2025]]*BHP[[#This Row],[hargaSatuan]]</f>
        <v>61914906.666666664</v>
      </c>
      <c r="S692" s="32">
        <f t="shared" si="20"/>
        <v>61914906.666666664</v>
      </c>
      <c r="T692" s="32">
        <f t="shared" si="21"/>
        <v>0</v>
      </c>
    </row>
    <row r="693" spans="1:20" ht="14.4" x14ac:dyDescent="0.3">
      <c r="A693" s="44">
        <v>97</v>
      </c>
      <c r="B693" s="45" t="s">
        <v>843</v>
      </c>
      <c r="C693" s="46" t="s">
        <v>838</v>
      </c>
      <c r="D693" s="47">
        <v>14082388</v>
      </c>
      <c r="E693" s="87">
        <v>46935</v>
      </c>
      <c r="F693" s="49">
        <v>2882.4444444444443</v>
      </c>
      <c r="G693" s="45" t="s">
        <v>17</v>
      </c>
      <c r="H693" s="50">
        <v>300</v>
      </c>
      <c r="I693" s="49">
        <f>BHP[[#This Row],[qtySaldoAwalSem1]]*BHP[[#This Row],[hargaSatuan]]</f>
        <v>864733.33333333326</v>
      </c>
      <c r="J693" s="50">
        <v>0</v>
      </c>
      <c r="K693" s="51">
        <f>BHP[[#This Row],[qtyTerima2025]]*BHP[[#This Row],[hargaSatuan]]</f>
        <v>0</v>
      </c>
      <c r="L693" s="50">
        <v>300</v>
      </c>
      <c r="M693" s="51">
        <f>BHP[[#This Row],[qtyDist2025]]*BHP[[#This Row],[hargaSatuan]]</f>
        <v>864733.33333333326</v>
      </c>
      <c r="N693" s="50">
        <v>0</v>
      </c>
      <c r="O693" s="51">
        <f>BHP[[#This Row],[qtyEd2025]]*BHP[[#This Row],[hargaSatuan]]</f>
        <v>0</v>
      </c>
      <c r="P693" s="50">
        <f>BHP[[#This Row],[qtySaldoAwalSem1]]+BHP[[#This Row],[qtyTerima2025]]-(BHP[[#This Row],[qtyDist2025]]+BHP[[#This Row],[qtyEd2025]])</f>
        <v>0</v>
      </c>
      <c r="Q693" s="52">
        <f>BHP[[#This Row],[qtySaldoAkhir2025]]*BHP[[#This Row],[hargaSatuan]]</f>
        <v>0</v>
      </c>
      <c r="S693" s="32">
        <f t="shared" si="20"/>
        <v>0</v>
      </c>
      <c r="T693" s="32">
        <f t="shared" si="21"/>
        <v>0</v>
      </c>
    </row>
    <row r="694" spans="1:20" ht="14.4" x14ac:dyDescent="0.3">
      <c r="A694" s="44">
        <v>98</v>
      </c>
      <c r="B694" s="45" t="s">
        <v>844</v>
      </c>
      <c r="C694" s="46" t="s">
        <v>838</v>
      </c>
      <c r="D694" s="47">
        <v>3112288</v>
      </c>
      <c r="E694" s="48">
        <v>46661</v>
      </c>
      <c r="F694" s="49">
        <v>924.66666666666663</v>
      </c>
      <c r="G694" s="45" t="s">
        <v>17</v>
      </c>
      <c r="H694" s="50">
        <v>325</v>
      </c>
      <c r="I694" s="49">
        <f>BHP[[#This Row],[qtySaldoAwalSem1]]*BHP[[#This Row],[hargaSatuan]]</f>
        <v>300516.66666666663</v>
      </c>
      <c r="J694" s="50">
        <v>0</v>
      </c>
      <c r="K694" s="51">
        <f>BHP[[#This Row],[qtyTerima2025]]*BHP[[#This Row],[hargaSatuan]]</f>
        <v>0</v>
      </c>
      <c r="L694" s="50">
        <v>325</v>
      </c>
      <c r="M694" s="51">
        <f>BHP[[#This Row],[qtyDist2025]]*BHP[[#This Row],[hargaSatuan]]</f>
        <v>300516.66666666663</v>
      </c>
      <c r="N694" s="50">
        <v>0</v>
      </c>
      <c r="O694" s="51">
        <f>BHP[[#This Row],[qtyEd2025]]*BHP[[#This Row],[hargaSatuan]]</f>
        <v>0</v>
      </c>
      <c r="P694" s="50">
        <f>BHP[[#This Row],[qtySaldoAwalSem1]]+BHP[[#This Row],[qtyTerima2025]]-(BHP[[#This Row],[qtyDist2025]]+BHP[[#This Row],[qtyEd2025]])</f>
        <v>0</v>
      </c>
      <c r="Q694" s="52">
        <f>BHP[[#This Row],[qtySaldoAkhir2025]]*BHP[[#This Row],[hargaSatuan]]</f>
        <v>0</v>
      </c>
      <c r="S694" s="32">
        <f t="shared" si="20"/>
        <v>0</v>
      </c>
      <c r="T694" s="32">
        <f t="shared" si="21"/>
        <v>0</v>
      </c>
    </row>
    <row r="695" spans="1:20" ht="14.4" x14ac:dyDescent="0.3">
      <c r="A695" s="44">
        <v>99</v>
      </c>
      <c r="B695" s="45" t="s">
        <v>844</v>
      </c>
      <c r="C695" s="46" t="s">
        <v>838</v>
      </c>
      <c r="D695" s="47">
        <v>12072388</v>
      </c>
      <c r="E695" s="87">
        <v>46905</v>
      </c>
      <c r="F695" s="49">
        <v>924.66666666666663</v>
      </c>
      <c r="G695" s="45" t="s">
        <v>17</v>
      </c>
      <c r="H695" s="50">
        <v>6000</v>
      </c>
      <c r="I695" s="49">
        <f>BHP[[#This Row],[qtySaldoAwalSem1]]*BHP[[#This Row],[hargaSatuan]]</f>
        <v>5548000</v>
      </c>
      <c r="J695" s="50">
        <v>0</v>
      </c>
      <c r="K695" s="51">
        <f>BHP[[#This Row],[qtyTerima2025]]*BHP[[#This Row],[hargaSatuan]]</f>
        <v>0</v>
      </c>
      <c r="L695" s="50">
        <v>175</v>
      </c>
      <c r="M695" s="51">
        <f>BHP[[#This Row],[qtyDist2025]]*BHP[[#This Row],[hargaSatuan]]</f>
        <v>161816.66666666666</v>
      </c>
      <c r="N695" s="50">
        <v>0</v>
      </c>
      <c r="O695" s="51">
        <f>BHP[[#This Row],[qtyEd2025]]*BHP[[#This Row],[hargaSatuan]]</f>
        <v>0</v>
      </c>
      <c r="P695" s="50">
        <f>BHP[[#This Row],[qtySaldoAwalSem1]]+BHP[[#This Row],[qtyTerima2025]]-(BHP[[#This Row],[qtyDist2025]]+BHP[[#This Row],[qtyEd2025]])</f>
        <v>5825</v>
      </c>
      <c r="Q695" s="52">
        <f>BHP[[#This Row],[qtySaldoAkhir2025]]*BHP[[#This Row],[hargaSatuan]]</f>
        <v>5386183.333333333</v>
      </c>
      <c r="S695" s="32">
        <f t="shared" si="20"/>
        <v>5386183.333333333</v>
      </c>
      <c r="T695" s="32">
        <f t="shared" si="21"/>
        <v>0</v>
      </c>
    </row>
    <row r="696" spans="1:20" ht="14.4" x14ac:dyDescent="0.3">
      <c r="A696" s="44">
        <v>100</v>
      </c>
      <c r="B696" s="45" t="s">
        <v>844</v>
      </c>
      <c r="C696" s="46" t="s">
        <v>838</v>
      </c>
      <c r="D696" s="47">
        <v>1122388</v>
      </c>
      <c r="E696" s="87">
        <v>47058</v>
      </c>
      <c r="F696" s="49">
        <v>890.43243243243239</v>
      </c>
      <c r="G696" s="45" t="s">
        <v>17</v>
      </c>
      <c r="H696" s="50">
        <v>9300</v>
      </c>
      <c r="I696" s="49">
        <f>BHP[[#This Row],[qtySaldoAwalSem1]]*BHP[[#This Row],[hargaSatuan]]</f>
        <v>8281021.6216216208</v>
      </c>
      <c r="J696" s="50">
        <v>0</v>
      </c>
      <c r="K696" s="51">
        <f>BHP[[#This Row],[qtyTerima2025]]*BHP[[#This Row],[hargaSatuan]]</f>
        <v>0</v>
      </c>
      <c r="L696" s="50">
        <v>0</v>
      </c>
      <c r="M696" s="51">
        <f>BHP[[#This Row],[qtyDist2025]]*BHP[[#This Row],[hargaSatuan]]</f>
        <v>0</v>
      </c>
      <c r="N696" s="50">
        <v>0</v>
      </c>
      <c r="O696" s="51">
        <f>BHP[[#This Row],[qtyEd2025]]*BHP[[#This Row],[hargaSatuan]]</f>
        <v>0</v>
      </c>
      <c r="P696" s="50">
        <f>BHP[[#This Row],[qtySaldoAwalSem1]]+BHP[[#This Row],[qtyTerima2025]]-(BHP[[#This Row],[qtyDist2025]]+BHP[[#This Row],[qtyEd2025]])</f>
        <v>9300</v>
      </c>
      <c r="Q696" s="52">
        <f>BHP[[#This Row],[qtySaldoAkhir2025]]*BHP[[#This Row],[hargaSatuan]]</f>
        <v>8281021.6216216208</v>
      </c>
      <c r="S696" s="32">
        <f t="shared" si="20"/>
        <v>8281021.6216216208</v>
      </c>
      <c r="T696" s="32">
        <f t="shared" si="21"/>
        <v>0</v>
      </c>
    </row>
    <row r="697" spans="1:20" ht="14.4" x14ac:dyDescent="0.3">
      <c r="A697" s="44">
        <v>101</v>
      </c>
      <c r="B697" s="45" t="s">
        <v>844</v>
      </c>
      <c r="C697" s="46" t="s">
        <v>838</v>
      </c>
      <c r="D697" s="47">
        <v>5082388</v>
      </c>
      <c r="E697" s="87">
        <v>46935</v>
      </c>
      <c r="F697" s="49">
        <v>890.43243243243239</v>
      </c>
      <c r="G697" s="45" t="s">
        <v>17</v>
      </c>
      <c r="H697" s="50">
        <v>30000</v>
      </c>
      <c r="I697" s="49">
        <f>BHP[[#This Row],[qtySaldoAwalSem1]]*BHP[[#This Row],[hargaSatuan]]</f>
        <v>26712972.97297297</v>
      </c>
      <c r="J697" s="50">
        <v>0</v>
      </c>
      <c r="K697" s="51">
        <f>BHP[[#This Row],[qtyTerima2025]]*BHP[[#This Row],[hargaSatuan]]</f>
        <v>0</v>
      </c>
      <c r="L697" s="50">
        <v>0</v>
      </c>
      <c r="M697" s="51">
        <f>BHP[[#This Row],[qtyDist2025]]*BHP[[#This Row],[hargaSatuan]]</f>
        <v>0</v>
      </c>
      <c r="N697" s="50">
        <v>0</v>
      </c>
      <c r="O697" s="51">
        <f>BHP[[#This Row],[qtyEd2025]]*BHP[[#This Row],[hargaSatuan]]</f>
        <v>0</v>
      </c>
      <c r="P697" s="50">
        <f>BHP[[#This Row],[qtySaldoAwalSem1]]+BHP[[#This Row],[qtyTerima2025]]-(BHP[[#This Row],[qtyDist2025]]+BHP[[#This Row],[qtyEd2025]])</f>
        <v>30000</v>
      </c>
      <c r="Q697" s="52">
        <f>BHP[[#This Row],[qtySaldoAkhir2025]]*BHP[[#This Row],[hargaSatuan]]</f>
        <v>26712972.97297297</v>
      </c>
      <c r="S697" s="32">
        <f t="shared" si="20"/>
        <v>26712972.97297297</v>
      </c>
      <c r="T697" s="32">
        <f t="shared" si="21"/>
        <v>0</v>
      </c>
    </row>
    <row r="698" spans="1:20" ht="14.4" x14ac:dyDescent="0.3">
      <c r="A698" s="44">
        <v>102</v>
      </c>
      <c r="B698" s="45" t="s">
        <v>844</v>
      </c>
      <c r="C698" s="46" t="s">
        <v>838</v>
      </c>
      <c r="D698" s="47">
        <v>10112388</v>
      </c>
      <c r="E698" s="48">
        <v>47027</v>
      </c>
      <c r="F698" s="49">
        <v>890.43243243243239</v>
      </c>
      <c r="G698" s="45" t="s">
        <v>17</v>
      </c>
      <c r="H698" s="50">
        <v>50000</v>
      </c>
      <c r="I698" s="49">
        <f>BHP[[#This Row],[qtySaldoAwalSem1]]*BHP[[#This Row],[hargaSatuan]]</f>
        <v>44521621.621621616</v>
      </c>
      <c r="J698" s="50">
        <v>0</v>
      </c>
      <c r="K698" s="51">
        <f>BHP[[#This Row],[qtyTerima2025]]*BHP[[#This Row],[hargaSatuan]]</f>
        <v>0</v>
      </c>
      <c r="L698" s="50">
        <v>0</v>
      </c>
      <c r="M698" s="51">
        <f>BHP[[#This Row],[qtyDist2025]]*BHP[[#This Row],[hargaSatuan]]</f>
        <v>0</v>
      </c>
      <c r="N698" s="50">
        <v>0</v>
      </c>
      <c r="O698" s="51">
        <f>BHP[[#This Row],[qtyEd2025]]*BHP[[#This Row],[hargaSatuan]]</f>
        <v>0</v>
      </c>
      <c r="P698" s="50">
        <f>BHP[[#This Row],[qtySaldoAwalSem1]]+BHP[[#This Row],[qtyTerima2025]]-(BHP[[#This Row],[qtyDist2025]]+BHP[[#This Row],[qtyEd2025]])</f>
        <v>50000</v>
      </c>
      <c r="Q698" s="52">
        <f>BHP[[#This Row],[qtySaldoAkhir2025]]*BHP[[#This Row],[hargaSatuan]]</f>
        <v>44521621.621621616</v>
      </c>
      <c r="S698" s="32">
        <f t="shared" si="20"/>
        <v>44521621.621621616</v>
      </c>
      <c r="T698" s="32">
        <f t="shared" si="21"/>
        <v>0</v>
      </c>
    </row>
    <row r="699" spans="1:20" ht="14.4" x14ac:dyDescent="0.3">
      <c r="A699" s="44">
        <v>103</v>
      </c>
      <c r="B699" s="45" t="s">
        <v>844</v>
      </c>
      <c r="C699" s="46" t="s">
        <v>838</v>
      </c>
      <c r="D699" s="47">
        <v>15072188</v>
      </c>
      <c r="E699" s="48">
        <v>46174</v>
      </c>
      <c r="F699" s="49">
        <v>890.43243243243239</v>
      </c>
      <c r="G699" s="45" t="s">
        <v>17</v>
      </c>
      <c r="H699" s="50">
        <v>1000</v>
      </c>
      <c r="I699" s="49">
        <f>BHP[[#This Row],[qtySaldoAwalSem1]]*BHP[[#This Row],[hargaSatuan]]</f>
        <v>890432.43243243243</v>
      </c>
      <c r="J699" s="50">
        <v>0</v>
      </c>
      <c r="K699" s="51">
        <f>BHP[[#This Row],[qtyTerima2025]]*BHP[[#This Row],[hargaSatuan]]</f>
        <v>0</v>
      </c>
      <c r="L699" s="50">
        <v>0</v>
      </c>
      <c r="M699" s="51">
        <f>BHP[[#This Row],[qtyDist2025]]*BHP[[#This Row],[hargaSatuan]]</f>
        <v>0</v>
      </c>
      <c r="N699" s="50">
        <v>0</v>
      </c>
      <c r="O699" s="51">
        <f>BHP[[#This Row],[qtyEd2025]]*BHP[[#This Row],[hargaSatuan]]</f>
        <v>0</v>
      </c>
      <c r="P699" s="50">
        <f>BHP[[#This Row],[qtySaldoAwalSem1]]+BHP[[#This Row],[qtyTerima2025]]-(BHP[[#This Row],[qtyDist2025]]+BHP[[#This Row],[qtyEd2025]])</f>
        <v>1000</v>
      </c>
      <c r="Q699" s="52">
        <f>BHP[[#This Row],[qtySaldoAkhir2025]]*BHP[[#This Row],[hargaSatuan]]</f>
        <v>890432.43243243243</v>
      </c>
      <c r="S699" s="32">
        <f t="shared" si="20"/>
        <v>890432.43243243243</v>
      </c>
      <c r="T699" s="32">
        <f t="shared" si="21"/>
        <v>0</v>
      </c>
    </row>
    <row r="700" spans="1:20" ht="14.4" x14ac:dyDescent="0.3">
      <c r="A700" s="44">
        <v>104</v>
      </c>
      <c r="B700" s="45" t="s">
        <v>844</v>
      </c>
      <c r="C700" s="46" t="s">
        <v>838</v>
      </c>
      <c r="D700" s="47">
        <v>18102388</v>
      </c>
      <c r="E700" s="87">
        <v>46997</v>
      </c>
      <c r="F700" s="49">
        <v>890.43243243243239</v>
      </c>
      <c r="G700" s="45" t="s">
        <v>17</v>
      </c>
      <c r="H700" s="50">
        <v>2200</v>
      </c>
      <c r="I700" s="49">
        <f>BHP[[#This Row],[qtySaldoAwalSem1]]*BHP[[#This Row],[hargaSatuan]]</f>
        <v>1958951.3513513512</v>
      </c>
      <c r="J700" s="50">
        <v>0</v>
      </c>
      <c r="K700" s="51">
        <f>BHP[[#This Row],[qtyTerima2025]]*BHP[[#This Row],[hargaSatuan]]</f>
        <v>0</v>
      </c>
      <c r="L700" s="50">
        <v>0</v>
      </c>
      <c r="M700" s="51">
        <f>BHP[[#This Row],[qtyDist2025]]*BHP[[#This Row],[hargaSatuan]]</f>
        <v>0</v>
      </c>
      <c r="N700" s="50">
        <v>0</v>
      </c>
      <c r="O700" s="51">
        <f>BHP[[#This Row],[qtyEd2025]]*BHP[[#This Row],[hargaSatuan]]</f>
        <v>0</v>
      </c>
      <c r="P700" s="50">
        <f>BHP[[#This Row],[qtySaldoAwalSem1]]+BHP[[#This Row],[qtyTerima2025]]-(BHP[[#This Row],[qtyDist2025]]+BHP[[#This Row],[qtyEd2025]])</f>
        <v>2200</v>
      </c>
      <c r="Q700" s="52">
        <f>BHP[[#This Row],[qtySaldoAkhir2025]]*BHP[[#This Row],[hargaSatuan]]</f>
        <v>1958951.3513513512</v>
      </c>
      <c r="S700" s="32">
        <f t="shared" si="20"/>
        <v>1958951.3513513512</v>
      </c>
      <c r="T700" s="32">
        <f t="shared" si="21"/>
        <v>0</v>
      </c>
    </row>
    <row r="701" spans="1:20" ht="14.4" x14ac:dyDescent="0.3">
      <c r="A701" s="44">
        <v>105</v>
      </c>
      <c r="B701" s="45" t="s">
        <v>845</v>
      </c>
      <c r="C701" s="46" t="s">
        <v>838</v>
      </c>
      <c r="D701" s="47">
        <v>6032388</v>
      </c>
      <c r="E701" s="87">
        <v>46784</v>
      </c>
      <c r="F701" s="49">
        <v>1089.6666666666667</v>
      </c>
      <c r="G701" s="45" t="s">
        <v>17</v>
      </c>
      <c r="H701" s="50">
        <v>5990</v>
      </c>
      <c r="I701" s="49">
        <f>BHP[[#This Row],[qtySaldoAwalSem1]]*BHP[[#This Row],[hargaSatuan]]</f>
        <v>6527103.333333334</v>
      </c>
      <c r="J701" s="50">
        <v>0</v>
      </c>
      <c r="K701" s="51">
        <f>BHP[[#This Row],[qtyTerima2025]]*BHP[[#This Row],[hargaSatuan]]</f>
        <v>0</v>
      </c>
      <c r="L701" s="50">
        <v>600</v>
      </c>
      <c r="M701" s="51">
        <f>BHP[[#This Row],[qtyDist2025]]*BHP[[#This Row],[hargaSatuan]]</f>
        <v>653800</v>
      </c>
      <c r="N701" s="50">
        <v>0</v>
      </c>
      <c r="O701" s="51">
        <f>BHP[[#This Row],[qtyEd2025]]*BHP[[#This Row],[hargaSatuan]]</f>
        <v>0</v>
      </c>
      <c r="P701" s="50">
        <f>BHP[[#This Row],[qtySaldoAwalSem1]]+BHP[[#This Row],[qtyTerima2025]]-(BHP[[#This Row],[qtyDist2025]]+BHP[[#This Row],[qtyEd2025]])</f>
        <v>5390</v>
      </c>
      <c r="Q701" s="52">
        <f>BHP[[#This Row],[qtySaldoAkhir2025]]*BHP[[#This Row],[hargaSatuan]]</f>
        <v>5873303.333333334</v>
      </c>
      <c r="S701" s="32">
        <f t="shared" si="20"/>
        <v>5873303.333333334</v>
      </c>
      <c r="T701" s="32">
        <f t="shared" si="21"/>
        <v>0</v>
      </c>
    </row>
    <row r="702" spans="1:20" ht="14.4" x14ac:dyDescent="0.3">
      <c r="A702" s="44">
        <v>106</v>
      </c>
      <c r="B702" s="45" t="s">
        <v>846</v>
      </c>
      <c r="C702" s="46" t="s">
        <v>847</v>
      </c>
      <c r="D702" s="47">
        <v>1092388</v>
      </c>
      <c r="E702" s="48">
        <v>46966</v>
      </c>
      <c r="F702" s="49">
        <v>7881</v>
      </c>
      <c r="G702" s="45" t="s">
        <v>17</v>
      </c>
      <c r="H702" s="50">
        <v>1340</v>
      </c>
      <c r="I702" s="49">
        <f>BHP[[#This Row],[qtySaldoAwalSem1]]*BHP[[#This Row],[hargaSatuan]]</f>
        <v>10560540</v>
      </c>
      <c r="J702" s="50">
        <v>0</v>
      </c>
      <c r="K702" s="51">
        <f>BHP[[#This Row],[qtyTerima2025]]*BHP[[#This Row],[hargaSatuan]]</f>
        <v>0</v>
      </c>
      <c r="L702" s="50">
        <v>1340</v>
      </c>
      <c r="M702" s="51">
        <f>BHP[[#This Row],[qtyDist2025]]*BHP[[#This Row],[hargaSatuan]]</f>
        <v>10560540</v>
      </c>
      <c r="N702" s="50">
        <v>0</v>
      </c>
      <c r="O702" s="51">
        <f>BHP[[#This Row],[qtyEd2025]]*BHP[[#This Row],[hargaSatuan]]</f>
        <v>0</v>
      </c>
      <c r="P702" s="50">
        <f>BHP[[#This Row],[qtySaldoAwalSem1]]+BHP[[#This Row],[qtyTerima2025]]-(BHP[[#This Row],[qtyDist2025]]+BHP[[#This Row],[qtyEd2025]])</f>
        <v>0</v>
      </c>
      <c r="Q702" s="52">
        <f>BHP[[#This Row],[qtySaldoAkhir2025]]*BHP[[#This Row],[hargaSatuan]]</f>
        <v>0</v>
      </c>
      <c r="S702" s="32">
        <f t="shared" si="20"/>
        <v>0</v>
      </c>
      <c r="T702" s="32">
        <f t="shared" si="21"/>
        <v>0</v>
      </c>
    </row>
    <row r="703" spans="1:20" ht="14.4" x14ac:dyDescent="0.3">
      <c r="A703" s="44">
        <v>107</v>
      </c>
      <c r="B703" s="45" t="s">
        <v>846</v>
      </c>
      <c r="C703" s="46" t="s">
        <v>847</v>
      </c>
      <c r="D703" s="47">
        <v>1032488</v>
      </c>
      <c r="E703" s="48">
        <v>47150</v>
      </c>
      <c r="F703" s="49">
        <v>8943.09</v>
      </c>
      <c r="G703" s="45" t="s">
        <v>54</v>
      </c>
      <c r="H703" s="50">
        <v>1224</v>
      </c>
      <c r="I703" s="49">
        <f>BHP[[#This Row],[qtySaldoAwalSem1]]*BHP[[#This Row],[hargaSatuan]]</f>
        <v>10946342.16</v>
      </c>
      <c r="J703" s="50">
        <v>0</v>
      </c>
      <c r="K703" s="51">
        <f>BHP[[#This Row],[qtyTerima2025]]*BHP[[#This Row],[hargaSatuan]]</f>
        <v>0</v>
      </c>
      <c r="L703" s="50">
        <v>1224</v>
      </c>
      <c r="M703" s="51">
        <f>BHP[[#This Row],[qtyDist2025]]*BHP[[#This Row],[hargaSatuan]]</f>
        <v>10946342.16</v>
      </c>
      <c r="N703" s="50">
        <v>0</v>
      </c>
      <c r="O703" s="51">
        <f>BHP[[#This Row],[qtyEd2025]]*BHP[[#This Row],[hargaSatuan]]</f>
        <v>0</v>
      </c>
      <c r="P703" s="50">
        <f>BHP[[#This Row],[qtySaldoAwalSem1]]+BHP[[#This Row],[qtyTerima2025]]-(BHP[[#This Row],[qtyDist2025]]+BHP[[#This Row],[qtyEd2025]])</f>
        <v>0</v>
      </c>
      <c r="Q703" s="52">
        <f>BHP[[#This Row],[qtySaldoAkhir2025]]*BHP[[#This Row],[hargaSatuan]]</f>
        <v>0</v>
      </c>
      <c r="S703" s="32">
        <f t="shared" si="20"/>
        <v>0</v>
      </c>
      <c r="T703" s="32">
        <f t="shared" si="21"/>
        <v>0</v>
      </c>
    </row>
    <row r="704" spans="1:20" ht="14.4" x14ac:dyDescent="0.3">
      <c r="A704" s="44">
        <v>108</v>
      </c>
      <c r="B704" s="45" t="s">
        <v>846</v>
      </c>
      <c r="C704" s="46" t="s">
        <v>847</v>
      </c>
      <c r="D704" s="47">
        <v>1072488</v>
      </c>
      <c r="E704" s="87">
        <v>46905</v>
      </c>
      <c r="F704" s="49">
        <v>9063.15</v>
      </c>
      <c r="G704" s="45" t="s">
        <v>17</v>
      </c>
      <c r="H704" s="50">
        <v>1000</v>
      </c>
      <c r="I704" s="49">
        <f>BHP[[#This Row],[qtySaldoAwalSem1]]*BHP[[#This Row],[hargaSatuan]]</f>
        <v>9063150</v>
      </c>
      <c r="J704" s="50">
        <v>0</v>
      </c>
      <c r="K704" s="51">
        <f>BHP[[#This Row],[qtyTerima2025]]*BHP[[#This Row],[hargaSatuan]]</f>
        <v>0</v>
      </c>
      <c r="L704" s="50">
        <v>1000</v>
      </c>
      <c r="M704" s="51">
        <f>BHP[[#This Row],[qtyDist2025]]*BHP[[#This Row],[hargaSatuan]]</f>
        <v>9063150</v>
      </c>
      <c r="N704" s="50">
        <v>0</v>
      </c>
      <c r="O704" s="51">
        <f>BHP[[#This Row],[qtyEd2025]]*BHP[[#This Row],[hargaSatuan]]</f>
        <v>0</v>
      </c>
      <c r="P704" s="50">
        <f>BHP[[#This Row],[qtySaldoAwalSem1]]+BHP[[#This Row],[qtyTerima2025]]-(BHP[[#This Row],[qtyDist2025]]+BHP[[#This Row],[qtyEd2025]])</f>
        <v>0</v>
      </c>
      <c r="Q704" s="52">
        <f>BHP[[#This Row],[qtySaldoAkhir2025]]*BHP[[#This Row],[hargaSatuan]]</f>
        <v>0</v>
      </c>
      <c r="S704" s="32">
        <f t="shared" si="20"/>
        <v>0</v>
      </c>
      <c r="T704" s="32">
        <f t="shared" si="21"/>
        <v>0</v>
      </c>
    </row>
    <row r="705" spans="1:59" ht="14.4" x14ac:dyDescent="0.3">
      <c r="A705" s="44">
        <v>109</v>
      </c>
      <c r="B705" s="45" t="s">
        <v>846</v>
      </c>
      <c r="C705" s="46" t="s">
        <v>847</v>
      </c>
      <c r="D705" s="47">
        <v>8042588</v>
      </c>
      <c r="E705" s="87">
        <v>47573</v>
      </c>
      <c r="F705" s="49">
        <v>9063.15</v>
      </c>
      <c r="G705" s="45" t="s">
        <v>41</v>
      </c>
      <c r="H705" s="50">
        <v>0</v>
      </c>
      <c r="I705" s="49">
        <f>BHP[[#This Row],[qtySaldoAwalSem1]]*BHP[[#This Row],[hargaSatuan]]</f>
        <v>0</v>
      </c>
      <c r="J705" s="50">
        <v>1000</v>
      </c>
      <c r="K705" s="51">
        <f>BHP[[#This Row],[qtyTerima2025]]*BHP[[#This Row],[hargaSatuan]]</f>
        <v>9063150</v>
      </c>
      <c r="L705" s="50">
        <v>990</v>
      </c>
      <c r="M705" s="51">
        <f>BHP[[#This Row],[qtyDist2025]]*BHP[[#This Row],[hargaSatuan]]</f>
        <v>8972518.5</v>
      </c>
      <c r="N705" s="50">
        <v>0</v>
      </c>
      <c r="O705" s="51">
        <v>0</v>
      </c>
      <c r="P705" s="50">
        <f>BHP[[#This Row],[qtySaldoAwalSem1]]+BHP[[#This Row],[qtyTerima2025]]-(BHP[[#This Row],[qtyDist2025]]+BHP[[#This Row],[qtyEd2025]])</f>
        <v>10</v>
      </c>
      <c r="Q705" s="52">
        <f>BHP[[#This Row],[qtySaldoAkhir2025]]*BHP[[#This Row],[hargaSatuan]]</f>
        <v>90631.5</v>
      </c>
      <c r="S705" s="32">
        <f t="shared" si="20"/>
        <v>90631.5</v>
      </c>
      <c r="T705" s="32">
        <f t="shared" si="21"/>
        <v>0</v>
      </c>
    </row>
    <row r="706" spans="1:59" ht="14.4" x14ac:dyDescent="0.3">
      <c r="A706" s="44">
        <v>110</v>
      </c>
      <c r="B706" s="45" t="s">
        <v>846</v>
      </c>
      <c r="C706" s="46" t="s">
        <v>847</v>
      </c>
      <c r="D706" s="47">
        <v>2012588</v>
      </c>
      <c r="E706" s="48">
        <v>47088</v>
      </c>
      <c r="F706" s="49">
        <v>9063.15</v>
      </c>
      <c r="G706" s="45" t="s">
        <v>41</v>
      </c>
      <c r="H706" s="50">
        <v>0</v>
      </c>
      <c r="I706" s="49">
        <f>BHP[[#This Row],[qtySaldoAwalSem1]]*BHP[[#This Row],[hargaSatuan]]</f>
        <v>0</v>
      </c>
      <c r="J706" s="50">
        <v>275</v>
      </c>
      <c r="K706" s="51">
        <f>BHP[[#This Row],[qtyTerima2025]]*BHP[[#This Row],[hargaSatuan]]</f>
        <v>2492366.25</v>
      </c>
      <c r="L706" s="50">
        <v>275</v>
      </c>
      <c r="M706" s="51">
        <f>BHP[[#This Row],[qtyDist2025]]*BHP[[#This Row],[hargaSatuan]]</f>
        <v>2492366.25</v>
      </c>
      <c r="N706" s="50">
        <v>0</v>
      </c>
      <c r="O706" s="51">
        <v>0</v>
      </c>
      <c r="P706" s="50">
        <f>BHP[[#This Row],[qtySaldoAwalSem1]]+BHP[[#This Row],[qtyTerima2025]]-(BHP[[#This Row],[qtyDist2025]]+BHP[[#This Row],[qtyEd2025]])</f>
        <v>0</v>
      </c>
      <c r="Q706" s="52">
        <f>BHP[[#This Row],[qtySaldoAkhir2025]]*BHP[[#This Row],[hargaSatuan]]</f>
        <v>0</v>
      </c>
      <c r="S706" s="32">
        <f t="shared" si="20"/>
        <v>0</v>
      </c>
      <c r="T706" s="32">
        <f t="shared" si="21"/>
        <v>0</v>
      </c>
    </row>
    <row r="707" spans="1:59" ht="14.4" x14ac:dyDescent="0.3">
      <c r="A707" s="44">
        <v>111</v>
      </c>
      <c r="B707" s="45" t="s">
        <v>846</v>
      </c>
      <c r="C707" s="46" t="s">
        <v>847</v>
      </c>
      <c r="D707" s="47">
        <v>8042588</v>
      </c>
      <c r="E707" s="87">
        <v>47573</v>
      </c>
      <c r="F707" s="49">
        <v>8952.43</v>
      </c>
      <c r="G707" s="45" t="s">
        <v>41</v>
      </c>
      <c r="H707" s="50">
        <v>0</v>
      </c>
      <c r="I707" s="49">
        <f>BHP[[#This Row],[qtySaldoAwalSem1]]*BHP[[#This Row],[hargaSatuan]]</f>
        <v>0</v>
      </c>
      <c r="J707" s="50">
        <v>2800</v>
      </c>
      <c r="K707" s="51">
        <f>BHP[[#This Row],[qtyTerima2025]]*BHP[[#This Row],[hargaSatuan]]</f>
        <v>25066804</v>
      </c>
      <c r="L707" s="50">
        <v>300</v>
      </c>
      <c r="M707" s="51">
        <f>BHP[[#This Row],[qtyDist2025]]*BHP[[#This Row],[hargaSatuan]]</f>
        <v>2685729</v>
      </c>
      <c r="N707" s="50">
        <v>0</v>
      </c>
      <c r="O707" s="51">
        <v>0</v>
      </c>
      <c r="P707" s="50">
        <f>BHP[[#This Row],[qtySaldoAwalSem1]]+BHP[[#This Row],[qtyTerima2025]]-(BHP[[#This Row],[qtyDist2025]]+BHP[[#This Row],[qtyEd2025]])</f>
        <v>2500</v>
      </c>
      <c r="Q707" s="52">
        <f>BHP[[#This Row],[qtySaldoAkhir2025]]*BHP[[#This Row],[hargaSatuan]]</f>
        <v>22381075</v>
      </c>
      <c r="S707" s="32">
        <f t="shared" si="20"/>
        <v>22381075</v>
      </c>
      <c r="T707" s="32">
        <f t="shared" si="21"/>
        <v>0</v>
      </c>
    </row>
    <row r="708" spans="1:59" ht="14.4" x14ac:dyDescent="0.3">
      <c r="A708" s="44">
        <v>112</v>
      </c>
      <c r="B708" s="45" t="s">
        <v>846</v>
      </c>
      <c r="C708" s="46" t="s">
        <v>847</v>
      </c>
      <c r="D708" s="47">
        <v>8042588</v>
      </c>
      <c r="E708" s="87">
        <v>46812</v>
      </c>
      <c r="F708" s="49">
        <v>8210</v>
      </c>
      <c r="G708" s="45" t="s">
        <v>41</v>
      </c>
      <c r="H708" s="50">
        <v>0</v>
      </c>
      <c r="I708" s="49">
        <f>BHP[[#This Row],[qtySaldoAwalSem1]]*BHP[[#This Row],[hargaSatuan]]</f>
        <v>0</v>
      </c>
      <c r="J708" s="50">
        <v>500</v>
      </c>
      <c r="K708" s="51">
        <f>BHP[[#This Row],[qtyTerima2025]]*BHP[[#This Row],[hargaSatuan]]</f>
        <v>4105000</v>
      </c>
      <c r="L708" s="50">
        <v>0</v>
      </c>
      <c r="M708" s="51">
        <f>BHP[[#This Row],[qtyDist2025]]*BHP[[#This Row],[hargaSatuan]]</f>
        <v>0</v>
      </c>
      <c r="N708" s="50">
        <v>0</v>
      </c>
      <c r="O708" s="51">
        <v>0</v>
      </c>
      <c r="P708" s="50">
        <f>BHP[[#This Row],[qtySaldoAwalSem1]]+BHP[[#This Row],[qtyTerima2025]]-(BHP[[#This Row],[qtyDist2025]]+BHP[[#This Row],[qtyEd2025]])</f>
        <v>500</v>
      </c>
      <c r="Q708" s="52">
        <f>BHP[[#This Row],[qtySaldoAkhir2025]]*BHP[[#This Row],[hargaSatuan]]</f>
        <v>4105000</v>
      </c>
      <c r="S708" s="32">
        <f t="shared" si="20"/>
        <v>4105000</v>
      </c>
      <c r="T708" s="32">
        <f t="shared" si="21"/>
        <v>0</v>
      </c>
    </row>
    <row r="709" spans="1:59" ht="14.4" x14ac:dyDescent="0.3">
      <c r="A709" s="44">
        <v>113</v>
      </c>
      <c r="B709" s="45" t="s">
        <v>848</v>
      </c>
      <c r="C709" s="46" t="s">
        <v>752</v>
      </c>
      <c r="D709" s="47" t="s">
        <v>849</v>
      </c>
      <c r="E709" s="87">
        <v>46447</v>
      </c>
      <c r="F709" s="49">
        <v>448</v>
      </c>
      <c r="G709" s="45" t="s">
        <v>40</v>
      </c>
      <c r="H709" s="50">
        <v>9072</v>
      </c>
      <c r="I709" s="49">
        <f>BHP[[#This Row],[qtySaldoAwalSem1]]*BHP[[#This Row],[hargaSatuan]]</f>
        <v>4064256</v>
      </c>
      <c r="J709" s="50">
        <v>0</v>
      </c>
      <c r="K709" s="51">
        <f>BHP[[#This Row],[qtyTerima2025]]*BHP[[#This Row],[hargaSatuan]]</f>
        <v>0</v>
      </c>
      <c r="L709" s="50">
        <v>288</v>
      </c>
      <c r="M709" s="51">
        <f>BHP[[#This Row],[qtyDist2025]]*BHP[[#This Row],[hargaSatuan]]</f>
        <v>129024</v>
      </c>
      <c r="N709" s="50">
        <v>0</v>
      </c>
      <c r="O709" s="51">
        <f>BHP[[#This Row],[qtyEd2025]]*BHP[[#This Row],[hargaSatuan]]</f>
        <v>0</v>
      </c>
      <c r="P709" s="50">
        <f>BHP[[#This Row],[qtySaldoAwalSem1]]+BHP[[#This Row],[qtyTerima2025]]-(BHP[[#This Row],[qtyDist2025]]+BHP[[#This Row],[qtyEd2025]])</f>
        <v>8784</v>
      </c>
      <c r="Q709" s="52">
        <f>BHP[[#This Row],[qtySaldoAkhir2025]]*BHP[[#This Row],[hargaSatuan]]</f>
        <v>3935232</v>
      </c>
      <c r="S709" s="32">
        <f t="shared" si="20"/>
        <v>3935232</v>
      </c>
      <c r="T709" s="32">
        <f t="shared" si="21"/>
        <v>0</v>
      </c>
    </row>
    <row r="710" spans="1:59" ht="14.4" x14ac:dyDescent="0.3">
      <c r="A710" s="44">
        <v>114</v>
      </c>
      <c r="B710" s="45" t="s">
        <v>848</v>
      </c>
      <c r="C710" s="46" t="s">
        <v>847</v>
      </c>
      <c r="D710" s="47" t="s">
        <v>850</v>
      </c>
      <c r="E710" s="48">
        <v>46874</v>
      </c>
      <c r="F710" s="49">
        <v>8887</v>
      </c>
      <c r="G710" s="45" t="s">
        <v>40</v>
      </c>
      <c r="H710" s="50">
        <v>48</v>
      </c>
      <c r="I710" s="49">
        <f>BHP[[#This Row],[qtySaldoAwalSem1]]*BHP[[#This Row],[hargaSatuan]]</f>
        <v>426576</v>
      </c>
      <c r="J710" s="50">
        <v>0</v>
      </c>
      <c r="K710" s="51">
        <f>BHP[[#This Row],[qtyTerima2025]]*BHP[[#This Row],[hargaSatuan]]</f>
        <v>0</v>
      </c>
      <c r="L710" s="50">
        <v>0</v>
      </c>
      <c r="M710" s="51">
        <f>BHP[[#This Row],[qtyDist2025]]*BHP[[#This Row],[hargaSatuan]]</f>
        <v>0</v>
      </c>
      <c r="N710" s="50">
        <v>0</v>
      </c>
      <c r="O710" s="51">
        <f>BHP[[#This Row],[qtyEd2025]]*BHP[[#This Row],[hargaSatuan]]</f>
        <v>0</v>
      </c>
      <c r="P710" s="50">
        <f>BHP[[#This Row],[qtySaldoAwalSem1]]+BHP[[#This Row],[qtyTerima2025]]-(BHP[[#This Row],[qtyDist2025]]+BHP[[#This Row],[qtyEd2025]])</f>
        <v>48</v>
      </c>
      <c r="Q710" s="52">
        <f>BHP[[#This Row],[qtySaldoAkhir2025]]*BHP[[#This Row],[hargaSatuan]]</f>
        <v>426576</v>
      </c>
      <c r="S710" s="32">
        <f t="shared" si="20"/>
        <v>426576</v>
      </c>
      <c r="T710" s="32">
        <f t="shared" si="21"/>
        <v>0</v>
      </c>
    </row>
    <row r="711" spans="1:59" ht="14.4" x14ac:dyDescent="0.3">
      <c r="A711" s="44">
        <v>115</v>
      </c>
      <c r="B711" s="45" t="s">
        <v>851</v>
      </c>
      <c r="C711" s="46" t="s">
        <v>752</v>
      </c>
      <c r="D711" s="47" t="s">
        <v>852</v>
      </c>
      <c r="E711" s="48">
        <v>46966</v>
      </c>
      <c r="F711" s="49">
        <v>1100</v>
      </c>
      <c r="G711" s="45" t="s">
        <v>54</v>
      </c>
      <c r="H711" s="50">
        <v>7100</v>
      </c>
      <c r="I711" s="49">
        <f>BHP[[#This Row],[qtySaldoAwalSem1]]*BHP[[#This Row],[hargaSatuan]]</f>
        <v>7810000</v>
      </c>
      <c r="J711" s="50">
        <v>0</v>
      </c>
      <c r="K711" s="51">
        <f>BHP[[#This Row],[qtyTerima2025]]*BHP[[#This Row],[hargaSatuan]]</f>
        <v>0</v>
      </c>
      <c r="L711" s="50">
        <v>500</v>
      </c>
      <c r="M711" s="51">
        <f>BHP[[#This Row],[qtyDist2025]]*BHP[[#This Row],[hargaSatuan]]</f>
        <v>550000</v>
      </c>
      <c r="N711" s="50">
        <v>0</v>
      </c>
      <c r="O711" s="51">
        <f>BHP[[#This Row],[qtyEd2025]]*BHP[[#This Row],[hargaSatuan]]</f>
        <v>0</v>
      </c>
      <c r="P711" s="50">
        <f>BHP[[#This Row],[qtySaldoAwalSem1]]+BHP[[#This Row],[qtyTerima2025]]-(BHP[[#This Row],[qtyDist2025]]+BHP[[#This Row],[qtyEd2025]])</f>
        <v>6600</v>
      </c>
      <c r="Q711" s="52">
        <f>BHP[[#This Row],[qtySaldoAkhir2025]]*BHP[[#This Row],[hargaSatuan]]</f>
        <v>7260000</v>
      </c>
      <c r="S711" s="32">
        <f t="shared" si="20"/>
        <v>7260000</v>
      </c>
      <c r="T711" s="32">
        <f t="shared" si="21"/>
        <v>0</v>
      </c>
    </row>
    <row r="712" spans="1:59" ht="14.4" x14ac:dyDescent="0.3">
      <c r="A712" s="44">
        <v>116</v>
      </c>
      <c r="B712" s="45" t="s">
        <v>853</v>
      </c>
      <c r="C712" s="46" t="s">
        <v>752</v>
      </c>
      <c r="D712" s="47">
        <v>12082388</v>
      </c>
      <c r="E712" s="87">
        <v>46935</v>
      </c>
      <c r="F712" s="49">
        <v>740.37</v>
      </c>
      <c r="G712" s="45" t="s">
        <v>54</v>
      </c>
      <c r="H712" s="50">
        <v>4000</v>
      </c>
      <c r="I712" s="49">
        <f>BHP[[#This Row],[qtySaldoAwalSem1]]*BHP[[#This Row],[hargaSatuan]]</f>
        <v>2961480</v>
      </c>
      <c r="J712" s="50">
        <v>0</v>
      </c>
      <c r="K712" s="51">
        <f>BHP[[#This Row],[qtyTerima2025]]*BHP[[#This Row],[hargaSatuan]]</f>
        <v>0</v>
      </c>
      <c r="L712" s="50">
        <v>0</v>
      </c>
      <c r="M712" s="51">
        <f>BHP[[#This Row],[qtyDist2025]]*BHP[[#This Row],[hargaSatuan]]</f>
        <v>0</v>
      </c>
      <c r="N712" s="50">
        <v>0</v>
      </c>
      <c r="O712" s="51">
        <f>BHP[[#This Row],[qtyEd2025]]*BHP[[#This Row],[hargaSatuan]]</f>
        <v>0</v>
      </c>
      <c r="P712" s="50">
        <f>BHP[[#This Row],[qtySaldoAwalSem1]]+BHP[[#This Row],[qtyTerima2025]]-(BHP[[#This Row],[qtyDist2025]]+BHP[[#This Row],[qtyEd2025]])</f>
        <v>4000</v>
      </c>
      <c r="Q712" s="52">
        <f>BHP[[#This Row],[qtySaldoAkhir2025]]*BHP[[#This Row],[hargaSatuan]]</f>
        <v>2961480</v>
      </c>
      <c r="S712" s="32">
        <f t="shared" si="20"/>
        <v>2961480</v>
      </c>
      <c r="T712" s="32">
        <f t="shared" si="21"/>
        <v>0</v>
      </c>
      <c r="W712" s="74"/>
    </row>
    <row r="713" spans="1:59" ht="14.4" x14ac:dyDescent="0.3">
      <c r="A713" s="44">
        <v>117</v>
      </c>
      <c r="B713" s="45" t="s">
        <v>854</v>
      </c>
      <c r="C713" s="46" t="s">
        <v>847</v>
      </c>
      <c r="D713" s="47" t="s">
        <v>855</v>
      </c>
      <c r="E713" s="87">
        <v>45689</v>
      </c>
      <c r="F713" s="49">
        <v>331</v>
      </c>
      <c r="G713" s="45" t="s">
        <v>40</v>
      </c>
      <c r="H713" s="50">
        <v>500</v>
      </c>
      <c r="I713" s="49">
        <f>BHP[[#This Row],[qtySaldoAwalSem1]]*BHP[[#This Row],[hargaSatuan]]</f>
        <v>165500</v>
      </c>
      <c r="J713" s="50">
        <v>0</v>
      </c>
      <c r="K713" s="51">
        <f>BHP[[#This Row],[qtyTerima2025]]*BHP[[#This Row],[hargaSatuan]]</f>
        <v>0</v>
      </c>
      <c r="L713" s="50">
        <v>0</v>
      </c>
      <c r="M713" s="51">
        <f>BHP[[#This Row],[qtyDist2025]]*BHP[[#This Row],[hargaSatuan]]</f>
        <v>0</v>
      </c>
      <c r="N713" s="50">
        <v>500</v>
      </c>
      <c r="O713" s="51">
        <f>BHP[[#This Row],[qtyEd2025]]*BHP[[#This Row],[hargaSatuan]]</f>
        <v>165500</v>
      </c>
      <c r="P713" s="50">
        <f>BHP[[#This Row],[qtySaldoAwalSem1]]+BHP[[#This Row],[qtyTerima2025]]-(BHP[[#This Row],[qtyDist2025]]+BHP[[#This Row],[qtyEd2025]])</f>
        <v>0</v>
      </c>
      <c r="Q713" s="52">
        <f>BHP[[#This Row],[qtySaldoAkhir2025]]*BHP[[#This Row],[hargaSatuan]]</f>
        <v>0</v>
      </c>
      <c r="S713" s="32">
        <f t="shared" ref="S713:S776" si="22">IFERROR(I713+K713-(M713+O713),0)</f>
        <v>0</v>
      </c>
      <c r="T713" s="32">
        <f t="shared" ref="T713:T776" si="23">IFERROR(Q713-S713,0)</f>
        <v>0</v>
      </c>
      <c r="W713" s="74"/>
    </row>
    <row r="714" spans="1:59" ht="14.4" x14ac:dyDescent="0.3">
      <c r="A714" s="44">
        <v>118</v>
      </c>
      <c r="B714" s="45" t="s">
        <v>854</v>
      </c>
      <c r="C714" s="46" t="s">
        <v>752</v>
      </c>
      <c r="D714" s="47" t="s">
        <v>856</v>
      </c>
      <c r="E714" s="87">
        <v>45689</v>
      </c>
      <c r="F714" s="49">
        <v>33100</v>
      </c>
      <c r="G714" s="45" t="s">
        <v>40</v>
      </c>
      <c r="H714" s="50">
        <v>20</v>
      </c>
      <c r="I714" s="49">
        <f>BHP[[#This Row],[qtySaldoAwalSem1]]*BHP[[#This Row],[hargaSatuan]]</f>
        <v>662000</v>
      </c>
      <c r="J714" s="50">
        <v>0</v>
      </c>
      <c r="K714" s="51">
        <f>BHP[[#This Row],[qtyTerima2025]]*BHP[[#This Row],[hargaSatuan]]</f>
        <v>0</v>
      </c>
      <c r="L714" s="50">
        <v>0</v>
      </c>
      <c r="M714" s="51">
        <f>BHP[[#This Row],[qtyDist2025]]*BHP[[#This Row],[hargaSatuan]]</f>
        <v>0</v>
      </c>
      <c r="N714" s="50">
        <v>20</v>
      </c>
      <c r="O714" s="51">
        <f>BHP[[#This Row],[qtyEd2025]]*BHP[[#This Row],[hargaSatuan]]</f>
        <v>662000</v>
      </c>
      <c r="P714" s="50">
        <f>BHP[[#This Row],[qtySaldoAwalSem1]]+BHP[[#This Row],[qtyTerima2025]]-(BHP[[#This Row],[qtyDist2025]]+BHP[[#This Row],[qtyEd2025]])</f>
        <v>0</v>
      </c>
      <c r="Q714" s="52">
        <f>BHP[[#This Row],[qtySaldoAkhir2025]]*BHP[[#This Row],[hargaSatuan]]</f>
        <v>0</v>
      </c>
      <c r="S714" s="32">
        <f t="shared" si="22"/>
        <v>0</v>
      </c>
      <c r="T714" s="32">
        <f t="shared" si="23"/>
        <v>0</v>
      </c>
    </row>
    <row r="715" spans="1:59" ht="14.4" x14ac:dyDescent="0.3">
      <c r="A715" s="44">
        <v>119</v>
      </c>
      <c r="B715" s="45" t="s">
        <v>857</v>
      </c>
      <c r="C715" s="46" t="s">
        <v>752</v>
      </c>
      <c r="D715" s="47">
        <v>24020353</v>
      </c>
      <c r="E715" s="48">
        <v>47331</v>
      </c>
      <c r="F715" s="49">
        <v>766.52</v>
      </c>
      <c r="G715" s="45" t="s">
        <v>17</v>
      </c>
      <c r="H715" s="50">
        <v>50000</v>
      </c>
      <c r="I715" s="49">
        <f>BHP[[#This Row],[qtySaldoAwalSem1]]*BHP[[#This Row],[hargaSatuan]]</f>
        <v>38326000</v>
      </c>
      <c r="J715" s="50">
        <v>0</v>
      </c>
      <c r="K715" s="51">
        <f>BHP[[#This Row],[qtyTerima2025]]*BHP[[#This Row],[hargaSatuan]]</f>
        <v>0</v>
      </c>
      <c r="L715" s="50">
        <v>50000</v>
      </c>
      <c r="M715" s="51">
        <f>BHP[[#This Row],[qtyDist2025]]*BHP[[#This Row],[hargaSatuan]]</f>
        <v>38326000</v>
      </c>
      <c r="N715" s="50">
        <v>0</v>
      </c>
      <c r="O715" s="51">
        <f>BHP[[#This Row],[qtyEd2025]]*BHP[[#This Row],[hargaSatuan]]</f>
        <v>0</v>
      </c>
      <c r="P715" s="50">
        <f>BHP[[#This Row],[qtySaldoAwalSem1]]+BHP[[#This Row],[qtyTerima2025]]-(BHP[[#This Row],[qtyDist2025]]+BHP[[#This Row],[qtyEd2025]])</f>
        <v>0</v>
      </c>
      <c r="Q715" s="52">
        <f>BHP[[#This Row],[qtySaldoAkhir2025]]*BHP[[#This Row],[hargaSatuan]]</f>
        <v>0</v>
      </c>
      <c r="S715" s="32">
        <f t="shared" si="22"/>
        <v>0</v>
      </c>
      <c r="T715" s="32">
        <f t="shared" si="23"/>
        <v>0</v>
      </c>
    </row>
    <row r="716" spans="1:59" ht="14.4" x14ac:dyDescent="0.3">
      <c r="A716" s="44">
        <v>120</v>
      </c>
      <c r="B716" s="77" t="s">
        <v>858</v>
      </c>
      <c r="C716" s="78" t="s">
        <v>752</v>
      </c>
      <c r="D716" s="79">
        <v>9122288</v>
      </c>
      <c r="E716" s="87">
        <v>46692</v>
      </c>
      <c r="F716" s="81">
        <v>328.56</v>
      </c>
      <c r="G716" s="77" t="s">
        <v>40</v>
      </c>
      <c r="H716" s="82">
        <v>1750</v>
      </c>
      <c r="I716" s="49">
        <f>BHP[[#This Row],[qtySaldoAwalSem1]]*BHP[[#This Row],[hargaSatuan]]</f>
        <v>574980</v>
      </c>
      <c r="J716" s="82">
        <v>2000</v>
      </c>
      <c r="K716" s="51">
        <f>BHP[[#This Row],[qtyTerima2025]]*BHP[[#This Row],[hargaSatuan]]</f>
        <v>657120</v>
      </c>
      <c r="L716" s="82">
        <v>3600</v>
      </c>
      <c r="M716" s="51">
        <f>BHP[[#This Row],[qtyDist2025]]*BHP[[#This Row],[hargaSatuan]]</f>
        <v>1182816</v>
      </c>
      <c r="N716" s="82">
        <v>0</v>
      </c>
      <c r="O716" s="51">
        <f>BHP[[#This Row],[qtyEd2025]]*BHP[[#This Row],[hargaSatuan]]</f>
        <v>0</v>
      </c>
      <c r="P716" s="50">
        <f>BHP[[#This Row],[qtySaldoAwalSem1]]+BHP[[#This Row],[qtyTerima2025]]-(BHP[[#This Row],[qtyDist2025]]+BHP[[#This Row],[qtyEd2025]])</f>
        <v>150</v>
      </c>
      <c r="Q716" s="52">
        <f>BHP[[#This Row],[qtySaldoAkhir2025]]*BHP[[#This Row],[hargaSatuan]]</f>
        <v>49284</v>
      </c>
      <c r="R716" s="74"/>
      <c r="S716" s="32">
        <f t="shared" si="22"/>
        <v>49284</v>
      </c>
      <c r="T716" s="32">
        <f t="shared" si="23"/>
        <v>0</v>
      </c>
      <c r="U716" s="74"/>
      <c r="X716" s="74"/>
      <c r="Y716" s="74"/>
      <c r="Z716" s="74"/>
      <c r="AA716" s="74"/>
      <c r="AB716" s="74"/>
      <c r="AC716" s="74"/>
      <c r="AD716" s="74"/>
      <c r="AE716" s="74"/>
      <c r="AF716" s="74"/>
      <c r="AG716" s="74"/>
      <c r="AH716" s="74"/>
      <c r="AI716" s="74"/>
      <c r="AJ716" s="74"/>
      <c r="AK716" s="74"/>
      <c r="AL716" s="74"/>
      <c r="AM716" s="74"/>
      <c r="AN716" s="74"/>
      <c r="AO716" s="74"/>
      <c r="AP716" s="74"/>
      <c r="AQ716" s="74"/>
      <c r="AR716" s="74"/>
      <c r="AS716" s="74"/>
      <c r="AT716" s="74"/>
      <c r="AU716" s="74"/>
      <c r="AV716" s="74"/>
      <c r="AW716" s="74"/>
      <c r="AX716" s="74"/>
      <c r="AY716" s="74"/>
      <c r="AZ716" s="74"/>
      <c r="BA716" s="74"/>
      <c r="BB716" s="74"/>
      <c r="BC716" s="74"/>
      <c r="BD716" s="74"/>
      <c r="BE716" s="74"/>
      <c r="BF716" s="74"/>
      <c r="BG716" s="74"/>
    </row>
    <row r="717" spans="1:59" ht="14.4" x14ac:dyDescent="0.3">
      <c r="A717" s="44">
        <v>121</v>
      </c>
      <c r="B717" s="77" t="s">
        <v>858</v>
      </c>
      <c r="C717" s="78" t="s">
        <v>752</v>
      </c>
      <c r="D717" s="79">
        <v>9122288</v>
      </c>
      <c r="E717" s="87">
        <v>46721</v>
      </c>
      <c r="F717" s="81">
        <v>328.56</v>
      </c>
      <c r="G717" s="77" t="s">
        <v>40</v>
      </c>
      <c r="H717" s="82">
        <v>0</v>
      </c>
      <c r="I717" s="49">
        <f>BHP[[#This Row],[qtySaldoAwalSem1]]*BHP[[#This Row],[hargaSatuan]]</f>
        <v>0</v>
      </c>
      <c r="J717" s="82">
        <v>2000</v>
      </c>
      <c r="K717" s="51">
        <f>BHP[[#This Row],[qtyTerima2025]]*BHP[[#This Row],[hargaSatuan]]</f>
        <v>657120</v>
      </c>
      <c r="L717" s="82">
        <v>0</v>
      </c>
      <c r="M717" s="51">
        <f>BHP[[#This Row],[qtyDist2025]]*BHP[[#This Row],[hargaSatuan]]</f>
        <v>0</v>
      </c>
      <c r="N717" s="82">
        <v>0</v>
      </c>
      <c r="O717" s="93">
        <v>0</v>
      </c>
      <c r="P717" s="50">
        <f>BHP[[#This Row],[qtySaldoAwalSem1]]+BHP[[#This Row],[qtyTerima2025]]-(BHP[[#This Row],[qtyDist2025]]+BHP[[#This Row],[qtyEd2025]])</f>
        <v>2000</v>
      </c>
      <c r="Q717" s="52">
        <f>BHP[[#This Row],[qtySaldoAkhir2025]]*BHP[[#This Row],[hargaSatuan]]</f>
        <v>657120</v>
      </c>
      <c r="R717" s="74"/>
      <c r="S717" s="32">
        <f t="shared" si="22"/>
        <v>657120</v>
      </c>
      <c r="T717" s="32">
        <f t="shared" si="23"/>
        <v>0</v>
      </c>
      <c r="U717" s="74"/>
      <c r="X717" s="74"/>
      <c r="Y717" s="74"/>
      <c r="Z717" s="74"/>
      <c r="AA717" s="74"/>
      <c r="AB717" s="74"/>
      <c r="AC717" s="74"/>
      <c r="AD717" s="74"/>
      <c r="AE717" s="74"/>
      <c r="AF717" s="74"/>
      <c r="AG717" s="74"/>
      <c r="AH717" s="74"/>
      <c r="AI717" s="74"/>
      <c r="AJ717" s="74"/>
      <c r="AK717" s="74"/>
      <c r="AL717" s="74"/>
      <c r="AM717" s="74"/>
      <c r="AN717" s="74"/>
      <c r="AO717" s="74"/>
      <c r="AP717" s="74"/>
      <c r="AQ717" s="74"/>
      <c r="AR717" s="74"/>
      <c r="AS717" s="74"/>
      <c r="AT717" s="74"/>
      <c r="AU717" s="74"/>
      <c r="AV717" s="74"/>
      <c r="AW717" s="74"/>
      <c r="AX717" s="74"/>
      <c r="AY717" s="74"/>
      <c r="AZ717" s="74"/>
      <c r="BA717" s="74"/>
      <c r="BB717" s="74"/>
      <c r="BC717" s="74"/>
      <c r="BD717" s="74"/>
      <c r="BE717" s="74"/>
      <c r="BF717" s="74"/>
      <c r="BG717" s="74"/>
    </row>
    <row r="718" spans="1:59" ht="14.4" x14ac:dyDescent="0.3">
      <c r="A718" s="44">
        <v>122</v>
      </c>
      <c r="B718" s="45" t="s">
        <v>859</v>
      </c>
      <c r="C718" s="46" t="s">
        <v>752</v>
      </c>
      <c r="D718" s="47">
        <v>710406</v>
      </c>
      <c r="E718" s="87">
        <v>47635</v>
      </c>
      <c r="F718" s="49">
        <v>816.33499170812604</v>
      </c>
      <c r="G718" s="45" t="s">
        <v>40</v>
      </c>
      <c r="H718" s="50">
        <v>0</v>
      </c>
      <c r="I718" s="49">
        <f>BHP[[#This Row],[qtySaldoAwalSem1]]*BHP[[#This Row],[hargaSatuan]]</f>
        <v>0</v>
      </c>
      <c r="J718" s="50">
        <v>30150</v>
      </c>
      <c r="K718" s="51">
        <f>BHP[[#This Row],[qtyTerima2025]]*BHP[[#This Row],[hargaSatuan]]</f>
        <v>24612500</v>
      </c>
      <c r="L718" s="50">
        <v>30150</v>
      </c>
      <c r="M718" s="51">
        <f>BHP[[#This Row],[qtyDist2025]]*BHP[[#This Row],[hargaSatuan]]</f>
        <v>24612500</v>
      </c>
      <c r="N718" s="50">
        <v>0</v>
      </c>
      <c r="O718" s="51">
        <v>0</v>
      </c>
      <c r="P718" s="50">
        <f>BHP[[#This Row],[qtySaldoAwalSem1]]+BHP[[#This Row],[qtyTerima2025]]-(BHP[[#This Row],[qtyDist2025]]+BHP[[#This Row],[qtyEd2025]])</f>
        <v>0</v>
      </c>
      <c r="Q718" s="52">
        <f>BHP[[#This Row],[qtySaldoAkhir2025]]*BHP[[#This Row],[hargaSatuan]]</f>
        <v>0</v>
      </c>
      <c r="S718" s="32">
        <f t="shared" si="22"/>
        <v>0</v>
      </c>
      <c r="T718" s="32">
        <f t="shared" si="23"/>
        <v>0</v>
      </c>
    </row>
    <row r="719" spans="1:59" ht="14.4" x14ac:dyDescent="0.3">
      <c r="A719" s="44">
        <v>123</v>
      </c>
      <c r="B719" s="45" t="s">
        <v>860</v>
      </c>
      <c r="C719" s="46" t="s">
        <v>752</v>
      </c>
      <c r="D719" s="47"/>
      <c r="E719" s="48"/>
      <c r="F719" s="49">
        <v>636.5</v>
      </c>
      <c r="G719" s="45" t="s">
        <v>40</v>
      </c>
      <c r="H719" s="50">
        <v>0</v>
      </c>
      <c r="I719" s="49">
        <f>BHP[[#This Row],[qtySaldoAwalSem1]]*BHP[[#This Row],[hargaSatuan]]</f>
        <v>0</v>
      </c>
      <c r="J719" s="50">
        <v>68000</v>
      </c>
      <c r="K719" s="51">
        <f>BHP[[#This Row],[qtyTerima2025]]*BHP[[#This Row],[hargaSatuan]]</f>
        <v>43282000</v>
      </c>
      <c r="L719" s="50">
        <v>22500</v>
      </c>
      <c r="M719" s="51">
        <f>BHP[[#This Row],[qtyDist2025]]*BHP[[#This Row],[hargaSatuan]]</f>
        <v>14321250</v>
      </c>
      <c r="N719" s="50">
        <v>0</v>
      </c>
      <c r="O719" s="51">
        <v>0</v>
      </c>
      <c r="P719" s="50">
        <f>BHP[[#This Row],[qtySaldoAwalSem1]]+BHP[[#This Row],[qtyTerima2025]]-(BHP[[#This Row],[qtyDist2025]]+BHP[[#This Row],[qtyEd2025]])</f>
        <v>45500</v>
      </c>
      <c r="Q719" s="52">
        <f>BHP[[#This Row],[qtySaldoAkhir2025]]*BHP[[#This Row],[hargaSatuan]]</f>
        <v>28960750</v>
      </c>
      <c r="S719" s="32">
        <f t="shared" si="22"/>
        <v>28960750</v>
      </c>
      <c r="T719" s="32">
        <f t="shared" si="23"/>
        <v>0</v>
      </c>
    </row>
    <row r="720" spans="1:59" ht="14.4" x14ac:dyDescent="0.3">
      <c r="A720" s="44">
        <v>124</v>
      </c>
      <c r="B720" s="45" t="s">
        <v>861</v>
      </c>
      <c r="C720" s="46" t="s">
        <v>752</v>
      </c>
      <c r="D720" s="47">
        <v>24020321</v>
      </c>
      <c r="E720" s="87">
        <v>47270</v>
      </c>
      <c r="F720" s="49">
        <v>766.52</v>
      </c>
      <c r="G720" s="45" t="s">
        <v>54</v>
      </c>
      <c r="H720" s="50">
        <v>32450</v>
      </c>
      <c r="I720" s="49">
        <f>BHP[[#This Row],[qtySaldoAwalSem1]]*BHP[[#This Row],[hargaSatuan]]</f>
        <v>24873574</v>
      </c>
      <c r="J720" s="50">
        <v>0</v>
      </c>
      <c r="K720" s="51">
        <f>BHP[[#This Row],[qtyTerima2025]]*BHP[[#This Row],[hargaSatuan]]</f>
        <v>0</v>
      </c>
      <c r="L720" s="50">
        <v>32450</v>
      </c>
      <c r="M720" s="51">
        <f>BHP[[#This Row],[qtyDist2025]]*BHP[[#This Row],[hargaSatuan]]</f>
        <v>24873574</v>
      </c>
      <c r="N720" s="50">
        <v>0</v>
      </c>
      <c r="O720" s="51">
        <f>BHP[[#This Row],[qtyEd2025]]*BHP[[#This Row],[hargaSatuan]]</f>
        <v>0</v>
      </c>
      <c r="P720" s="50">
        <f>BHP[[#This Row],[qtySaldoAwalSem1]]+BHP[[#This Row],[qtyTerima2025]]-(BHP[[#This Row],[qtyDist2025]]+BHP[[#This Row],[qtyEd2025]])</f>
        <v>0</v>
      </c>
      <c r="Q720" s="52">
        <f>BHP[[#This Row],[qtySaldoAkhir2025]]*BHP[[#This Row],[hargaSatuan]]</f>
        <v>0</v>
      </c>
      <c r="S720" s="32">
        <f t="shared" si="22"/>
        <v>0</v>
      </c>
      <c r="T720" s="32">
        <f t="shared" si="23"/>
        <v>0</v>
      </c>
    </row>
    <row r="721" spans="1:59" ht="14.4" x14ac:dyDescent="0.3">
      <c r="A721" s="44">
        <v>125</v>
      </c>
      <c r="B721" s="45" t="s">
        <v>862</v>
      </c>
      <c r="C721" s="46" t="s">
        <v>752</v>
      </c>
      <c r="D721" s="47" t="s">
        <v>863</v>
      </c>
      <c r="E721" s="48">
        <v>45992</v>
      </c>
      <c r="F721" s="49"/>
      <c r="G721" s="45" t="s">
        <v>40</v>
      </c>
      <c r="H721" s="50">
        <v>2000</v>
      </c>
      <c r="I721" s="49">
        <f>BHP[[#This Row],[qtySaldoAwalSem1]]*BHP[[#This Row],[hargaSatuan]]</f>
        <v>0</v>
      </c>
      <c r="J721" s="50">
        <v>0</v>
      </c>
      <c r="K721" s="51">
        <f>BHP[[#This Row],[qtyTerima2025]]*BHP[[#This Row],[hargaSatuan]]</f>
        <v>0</v>
      </c>
      <c r="L721" s="50">
        <v>0</v>
      </c>
      <c r="M721" s="51">
        <f>BHP[[#This Row],[qtyDist2025]]*BHP[[#This Row],[hargaSatuan]]</f>
        <v>0</v>
      </c>
      <c r="N721" s="50">
        <v>2000</v>
      </c>
      <c r="O721" s="51">
        <v>0</v>
      </c>
      <c r="P721" s="50">
        <f>BHP[[#This Row],[qtySaldoAwalSem1]]+BHP[[#This Row],[qtyTerima2025]]-(BHP[[#This Row],[qtyDist2025]]+BHP[[#This Row],[qtyEd2025]])</f>
        <v>0</v>
      </c>
      <c r="Q721" s="52">
        <f>BHP[[#This Row],[qtySaldoAkhir2025]]*BHP[[#This Row],[hargaSatuan]]</f>
        <v>0</v>
      </c>
      <c r="S721" s="32">
        <f t="shared" si="22"/>
        <v>0</v>
      </c>
      <c r="T721" s="32">
        <f t="shared" si="23"/>
        <v>0</v>
      </c>
      <c r="W721" s="74"/>
    </row>
    <row r="722" spans="1:59" ht="14.4" x14ac:dyDescent="0.3">
      <c r="A722" s="44">
        <v>126</v>
      </c>
      <c r="B722" s="45" t="s">
        <v>864</v>
      </c>
      <c r="C722" s="46" t="s">
        <v>752</v>
      </c>
      <c r="D722" s="47" t="s">
        <v>865</v>
      </c>
      <c r="E722" s="48">
        <v>46600</v>
      </c>
      <c r="F722" s="49">
        <v>21534</v>
      </c>
      <c r="G722" s="45" t="s">
        <v>66</v>
      </c>
      <c r="H722" s="50">
        <v>300</v>
      </c>
      <c r="I722" s="49">
        <f>BHP[[#This Row],[qtySaldoAwalSem1]]*BHP[[#This Row],[hargaSatuan]]</f>
        <v>6460200</v>
      </c>
      <c r="J722" s="50">
        <v>0</v>
      </c>
      <c r="K722" s="51">
        <f>BHP[[#This Row],[qtyTerima2025]]*BHP[[#This Row],[hargaSatuan]]</f>
        <v>0</v>
      </c>
      <c r="L722" s="50">
        <v>0</v>
      </c>
      <c r="M722" s="51">
        <f>BHP[[#This Row],[qtyDist2025]]*BHP[[#This Row],[hargaSatuan]]</f>
        <v>0</v>
      </c>
      <c r="N722" s="50">
        <v>0</v>
      </c>
      <c r="O722" s="51">
        <f>BHP[[#This Row],[qtyEd2025]]*BHP[[#This Row],[hargaSatuan]]</f>
        <v>0</v>
      </c>
      <c r="P722" s="50">
        <f>BHP[[#This Row],[qtySaldoAwalSem1]]+BHP[[#This Row],[qtyTerima2025]]-(BHP[[#This Row],[qtyDist2025]]+BHP[[#This Row],[qtyEd2025]])</f>
        <v>300</v>
      </c>
      <c r="Q722" s="52">
        <f>BHP[[#This Row],[qtySaldoAkhir2025]]*BHP[[#This Row],[hargaSatuan]]</f>
        <v>6460200</v>
      </c>
      <c r="S722" s="32">
        <f t="shared" si="22"/>
        <v>6460200</v>
      </c>
      <c r="T722" s="32">
        <f t="shared" si="23"/>
        <v>0</v>
      </c>
      <c r="W722" s="74"/>
    </row>
    <row r="723" spans="1:59" ht="14.4" x14ac:dyDescent="0.3">
      <c r="A723" s="44">
        <v>127</v>
      </c>
      <c r="B723" s="45" t="s">
        <v>864</v>
      </c>
      <c r="C723" s="46" t="s">
        <v>752</v>
      </c>
      <c r="D723" s="47">
        <v>20082022</v>
      </c>
      <c r="E723" s="48"/>
      <c r="F723" s="49">
        <v>12500</v>
      </c>
      <c r="G723" s="45" t="s">
        <v>40</v>
      </c>
      <c r="H723" s="50">
        <v>0</v>
      </c>
      <c r="I723" s="49">
        <f>BHP[[#This Row],[qtySaldoAwalSem1]]*BHP[[#This Row],[hargaSatuan]]</f>
        <v>0</v>
      </c>
      <c r="J723" s="50">
        <v>300</v>
      </c>
      <c r="K723" s="51">
        <f>BHP[[#This Row],[qtyTerima2025]]*BHP[[#This Row],[hargaSatuan]]</f>
        <v>3750000</v>
      </c>
      <c r="L723" s="50">
        <v>0</v>
      </c>
      <c r="M723" s="51">
        <f>BHP[[#This Row],[qtyDist2025]]*BHP[[#This Row],[hargaSatuan]]</f>
        <v>0</v>
      </c>
      <c r="N723" s="50">
        <v>0</v>
      </c>
      <c r="O723" s="51">
        <v>0</v>
      </c>
      <c r="P723" s="50">
        <f>BHP[[#This Row],[qtySaldoAwalSem1]]+BHP[[#This Row],[qtyTerima2025]]-(BHP[[#This Row],[qtyDist2025]]+BHP[[#This Row],[qtyEd2025]])</f>
        <v>300</v>
      </c>
      <c r="Q723" s="52">
        <f>BHP[[#This Row],[qtySaldoAkhir2025]]*BHP[[#This Row],[hargaSatuan]]</f>
        <v>3750000</v>
      </c>
      <c r="S723" s="32">
        <f t="shared" si="22"/>
        <v>3750000</v>
      </c>
      <c r="T723" s="32">
        <f t="shared" si="23"/>
        <v>0</v>
      </c>
    </row>
    <row r="724" spans="1:59" ht="14.4" x14ac:dyDescent="0.3">
      <c r="A724" s="44">
        <v>128</v>
      </c>
      <c r="B724" s="45" t="s">
        <v>864</v>
      </c>
      <c r="C724" s="46" t="s">
        <v>752</v>
      </c>
      <c r="D724" s="47"/>
      <c r="E724" s="48"/>
      <c r="F724" s="49">
        <v>14500</v>
      </c>
      <c r="G724" s="45" t="s">
        <v>40</v>
      </c>
      <c r="H724" s="50">
        <v>0</v>
      </c>
      <c r="I724" s="49">
        <f>BHP[[#This Row],[qtySaldoAwalSem1]]*BHP[[#This Row],[hargaSatuan]]</f>
        <v>0</v>
      </c>
      <c r="J724" s="50">
        <v>3240</v>
      </c>
      <c r="K724" s="51">
        <f>BHP[[#This Row],[qtyTerima2025]]*BHP[[#This Row],[hargaSatuan]]</f>
        <v>46980000</v>
      </c>
      <c r="L724" s="50">
        <v>800</v>
      </c>
      <c r="M724" s="51">
        <f>BHP[[#This Row],[qtyDist2025]]*BHP[[#This Row],[hargaSatuan]]</f>
        <v>11600000</v>
      </c>
      <c r="N724" s="50">
        <v>0</v>
      </c>
      <c r="O724" s="51">
        <v>0</v>
      </c>
      <c r="P724" s="50">
        <f>BHP[[#This Row],[qtySaldoAwalSem1]]+BHP[[#This Row],[qtyTerima2025]]-(BHP[[#This Row],[qtyDist2025]]+BHP[[#This Row],[qtyEd2025]])</f>
        <v>2440</v>
      </c>
      <c r="Q724" s="52">
        <f>BHP[[#This Row],[qtySaldoAkhir2025]]*BHP[[#This Row],[hargaSatuan]]</f>
        <v>35380000</v>
      </c>
      <c r="S724" s="32">
        <f t="shared" si="22"/>
        <v>35380000</v>
      </c>
      <c r="T724" s="32">
        <f t="shared" si="23"/>
        <v>0</v>
      </c>
    </row>
    <row r="725" spans="1:59" ht="14.4" x14ac:dyDescent="0.3">
      <c r="A725" s="44">
        <v>129</v>
      </c>
      <c r="B725" s="77" t="s">
        <v>866</v>
      </c>
      <c r="C725" s="78" t="s">
        <v>752</v>
      </c>
      <c r="D725" s="79"/>
      <c r="E725" s="80"/>
      <c r="F725" s="81">
        <v>20000</v>
      </c>
      <c r="G725" s="77" t="s">
        <v>40</v>
      </c>
      <c r="H725" s="82">
        <v>0</v>
      </c>
      <c r="I725" s="49">
        <f>BHP[[#This Row],[qtySaldoAwalSem1]]*BHP[[#This Row],[hargaSatuan]]</f>
        <v>0</v>
      </c>
      <c r="J725" s="82">
        <v>300</v>
      </c>
      <c r="K725" s="51">
        <f>BHP[[#This Row],[qtyTerima2025]]*BHP[[#This Row],[hargaSatuan]]</f>
        <v>6000000</v>
      </c>
      <c r="L725" s="82">
        <v>300</v>
      </c>
      <c r="M725" s="51">
        <f>BHP[[#This Row],[qtyDist2025]]*BHP[[#This Row],[hargaSatuan]]</f>
        <v>6000000</v>
      </c>
      <c r="N725" s="82">
        <v>0</v>
      </c>
      <c r="O725" s="93">
        <v>0</v>
      </c>
      <c r="P725" s="50">
        <f>BHP[[#This Row],[qtySaldoAwalSem1]]+BHP[[#This Row],[qtyTerima2025]]-(BHP[[#This Row],[qtyDist2025]]+BHP[[#This Row],[qtyEd2025]])</f>
        <v>0</v>
      </c>
      <c r="Q725" s="52">
        <f>BHP[[#This Row],[qtySaldoAkhir2025]]*BHP[[#This Row],[hargaSatuan]]</f>
        <v>0</v>
      </c>
      <c r="R725" s="74"/>
      <c r="S725" s="32">
        <f t="shared" si="22"/>
        <v>0</v>
      </c>
      <c r="T725" s="32">
        <f t="shared" si="23"/>
        <v>0</v>
      </c>
      <c r="U725" s="74"/>
      <c r="W725" s="74"/>
      <c r="X725" s="74"/>
      <c r="Y725" s="74"/>
      <c r="Z725" s="74"/>
      <c r="AA725" s="74"/>
      <c r="AB725" s="74"/>
      <c r="AC725" s="74"/>
      <c r="AD725" s="74"/>
      <c r="AE725" s="74"/>
      <c r="AF725" s="74"/>
      <c r="AG725" s="74"/>
      <c r="AH725" s="74"/>
      <c r="AI725" s="74"/>
      <c r="AJ725" s="74"/>
      <c r="AK725" s="74"/>
      <c r="AL725" s="74"/>
      <c r="AM725" s="74"/>
      <c r="AN725" s="74"/>
      <c r="AO725" s="74"/>
      <c r="AP725" s="74"/>
      <c r="AQ725" s="74"/>
      <c r="AR725" s="74"/>
      <c r="AS725" s="74"/>
      <c r="AT725" s="74"/>
      <c r="AU725" s="74"/>
      <c r="AV725" s="74"/>
      <c r="AW725" s="74"/>
      <c r="AX725" s="74"/>
      <c r="AY725" s="74"/>
      <c r="AZ725" s="74"/>
      <c r="BA725" s="74"/>
      <c r="BB725" s="74"/>
      <c r="BC725" s="74"/>
      <c r="BD725" s="74"/>
      <c r="BE725" s="74"/>
      <c r="BF725" s="74"/>
      <c r="BG725" s="74"/>
    </row>
    <row r="726" spans="1:59" ht="14.4" x14ac:dyDescent="0.3">
      <c r="A726" s="44">
        <v>130</v>
      </c>
      <c r="B726" s="77" t="s">
        <v>867</v>
      </c>
      <c r="C726" s="78" t="s">
        <v>752</v>
      </c>
      <c r="D726" s="79">
        <v>5042022</v>
      </c>
      <c r="E726" s="87">
        <v>46478</v>
      </c>
      <c r="F726" s="81">
        <v>10000</v>
      </c>
      <c r="G726" s="77" t="s">
        <v>48</v>
      </c>
      <c r="H726" s="82">
        <v>1040</v>
      </c>
      <c r="I726" s="49">
        <f>BHP[[#This Row],[qtySaldoAwalSem1]]*BHP[[#This Row],[hargaSatuan]]</f>
        <v>10400000</v>
      </c>
      <c r="J726" s="82">
        <v>0</v>
      </c>
      <c r="K726" s="51">
        <f>BHP[[#This Row],[qtyTerima2025]]*BHP[[#This Row],[hargaSatuan]]</f>
        <v>0</v>
      </c>
      <c r="L726" s="82">
        <v>1040</v>
      </c>
      <c r="M726" s="51">
        <f>BHP[[#This Row],[qtyDist2025]]*BHP[[#This Row],[hargaSatuan]]</f>
        <v>10400000</v>
      </c>
      <c r="N726" s="82">
        <v>0</v>
      </c>
      <c r="O726" s="51">
        <f>BHP[[#This Row],[qtyEd2025]]*BHP[[#This Row],[hargaSatuan]]</f>
        <v>0</v>
      </c>
      <c r="P726" s="50">
        <f>BHP[[#This Row],[qtySaldoAwalSem1]]+BHP[[#This Row],[qtyTerima2025]]-(BHP[[#This Row],[qtyDist2025]]+BHP[[#This Row],[qtyEd2025]])</f>
        <v>0</v>
      </c>
      <c r="Q726" s="52">
        <f>BHP[[#This Row],[qtySaldoAkhir2025]]*BHP[[#This Row],[hargaSatuan]]</f>
        <v>0</v>
      </c>
      <c r="R726" s="74"/>
      <c r="S726" s="32">
        <f t="shared" si="22"/>
        <v>0</v>
      </c>
      <c r="T726" s="32">
        <f t="shared" si="23"/>
        <v>0</v>
      </c>
      <c r="U726" s="74"/>
      <c r="X726" s="74"/>
      <c r="Y726" s="74"/>
      <c r="Z726" s="74"/>
      <c r="AA726" s="74"/>
      <c r="AB726" s="74"/>
      <c r="AC726" s="74"/>
      <c r="AD726" s="74"/>
      <c r="AE726" s="74"/>
      <c r="AF726" s="74"/>
      <c r="AG726" s="74"/>
      <c r="AH726" s="74"/>
      <c r="AI726" s="74"/>
      <c r="AJ726" s="74"/>
      <c r="AK726" s="74"/>
      <c r="AL726" s="74"/>
      <c r="AM726" s="74"/>
      <c r="AN726" s="74"/>
      <c r="AO726" s="74"/>
      <c r="AP726" s="74"/>
      <c r="AQ726" s="74"/>
      <c r="AR726" s="74"/>
      <c r="AS726" s="74"/>
      <c r="AT726" s="74"/>
      <c r="AU726" s="74"/>
      <c r="AV726" s="74"/>
      <c r="AW726" s="74"/>
      <c r="AX726" s="74"/>
      <c r="AY726" s="74"/>
      <c r="AZ726" s="74"/>
      <c r="BA726" s="74"/>
      <c r="BB726" s="74"/>
      <c r="BC726" s="74"/>
      <c r="BD726" s="74"/>
      <c r="BE726" s="74"/>
      <c r="BF726" s="74"/>
      <c r="BG726" s="74"/>
    </row>
    <row r="727" spans="1:59" ht="14.4" x14ac:dyDescent="0.3">
      <c r="A727" s="44">
        <v>131</v>
      </c>
      <c r="B727" s="45" t="s">
        <v>868</v>
      </c>
      <c r="C727" s="46" t="s">
        <v>752</v>
      </c>
      <c r="D727" s="47">
        <v>1210701</v>
      </c>
      <c r="E727" s="48">
        <v>46174</v>
      </c>
      <c r="F727" s="49">
        <v>29083.333331606216</v>
      </c>
      <c r="G727" s="45" t="s">
        <v>40</v>
      </c>
      <c r="H727" s="50">
        <v>760</v>
      </c>
      <c r="I727" s="49">
        <f>BHP[[#This Row],[qtySaldoAwalSem1]]*BHP[[#This Row],[hargaSatuan]]</f>
        <v>22103333.332020726</v>
      </c>
      <c r="J727" s="50">
        <v>0</v>
      </c>
      <c r="K727" s="51">
        <f>BHP[[#This Row],[qtyTerima2025]]*BHP[[#This Row],[hargaSatuan]]</f>
        <v>0</v>
      </c>
      <c r="L727" s="50">
        <v>380</v>
      </c>
      <c r="M727" s="51">
        <f>BHP[[#This Row],[qtyDist2025]]*BHP[[#This Row],[hargaSatuan]]</f>
        <v>11051666.666010363</v>
      </c>
      <c r="N727" s="50">
        <v>0</v>
      </c>
      <c r="O727" s="51">
        <f>BHP[[#This Row],[qtyEd2025]]*BHP[[#This Row],[hargaSatuan]]</f>
        <v>0</v>
      </c>
      <c r="P727" s="50">
        <f>BHP[[#This Row],[qtySaldoAwalSem1]]+BHP[[#This Row],[qtyTerima2025]]-(BHP[[#This Row],[qtyDist2025]]+BHP[[#This Row],[qtyEd2025]])</f>
        <v>380</v>
      </c>
      <c r="Q727" s="52">
        <f>BHP[[#This Row],[qtySaldoAkhir2025]]*BHP[[#This Row],[hargaSatuan]]</f>
        <v>11051666.666010363</v>
      </c>
      <c r="S727" s="32">
        <f t="shared" si="22"/>
        <v>11051666.666010363</v>
      </c>
      <c r="T727" s="32">
        <f t="shared" si="23"/>
        <v>0</v>
      </c>
      <c r="W727" s="74"/>
    </row>
    <row r="728" spans="1:59" ht="14.4" x14ac:dyDescent="0.3">
      <c r="A728" s="44">
        <v>132</v>
      </c>
      <c r="B728" s="45" t="s">
        <v>869</v>
      </c>
      <c r="C728" s="46" t="s">
        <v>752</v>
      </c>
      <c r="D728" s="47">
        <v>20082022</v>
      </c>
      <c r="E728" s="48"/>
      <c r="F728" s="49">
        <v>12500</v>
      </c>
      <c r="G728" s="45" t="s">
        <v>40</v>
      </c>
      <c r="H728" s="50">
        <v>0</v>
      </c>
      <c r="I728" s="49">
        <f>BHP[[#This Row],[qtySaldoAwalSem1]]*BHP[[#This Row],[hargaSatuan]]</f>
        <v>0</v>
      </c>
      <c r="J728" s="50">
        <v>1000</v>
      </c>
      <c r="K728" s="51">
        <f>BHP[[#This Row],[qtyTerima2025]]*BHP[[#This Row],[hargaSatuan]]</f>
        <v>12500000</v>
      </c>
      <c r="L728" s="94">
        <v>760</v>
      </c>
      <c r="M728" s="51">
        <f>BHP[[#This Row],[qtyDist2025]]*BHP[[#This Row],[hargaSatuan]]</f>
        <v>9500000</v>
      </c>
      <c r="N728" s="50">
        <v>0</v>
      </c>
      <c r="O728" s="51">
        <v>0</v>
      </c>
      <c r="P728" s="50">
        <f>BHP[[#This Row],[qtySaldoAwalSem1]]+BHP[[#This Row],[qtyTerima2025]]-(BHP[[#This Row],[qtyDist2025]]+BHP[[#This Row],[qtyEd2025]])</f>
        <v>240</v>
      </c>
      <c r="Q728" s="52">
        <f>BHP[[#This Row],[qtySaldoAkhir2025]]*BHP[[#This Row],[hargaSatuan]]</f>
        <v>3000000</v>
      </c>
      <c r="S728" s="32">
        <f t="shared" si="22"/>
        <v>3000000</v>
      </c>
      <c r="T728" s="32">
        <f t="shared" si="23"/>
        <v>0</v>
      </c>
    </row>
    <row r="729" spans="1:59" ht="14.4" x14ac:dyDescent="0.3">
      <c r="A729" s="44">
        <v>133</v>
      </c>
      <c r="B729" s="77" t="s">
        <v>870</v>
      </c>
      <c r="C729" s="78" t="s">
        <v>752</v>
      </c>
      <c r="D729" s="79"/>
      <c r="E729" s="80"/>
      <c r="F729" s="81">
        <v>20000</v>
      </c>
      <c r="G729" s="77" t="s">
        <v>40</v>
      </c>
      <c r="H729" s="82">
        <v>30</v>
      </c>
      <c r="I729" s="49">
        <f>BHP[[#This Row],[qtySaldoAwalSem1]]*BHP[[#This Row],[hargaSatuan]]</f>
        <v>600000</v>
      </c>
      <c r="J729" s="82">
        <v>0</v>
      </c>
      <c r="K729" s="51">
        <f>BHP[[#This Row],[qtyTerima2025]]*BHP[[#This Row],[hargaSatuan]]</f>
        <v>0</v>
      </c>
      <c r="L729" s="82">
        <v>30</v>
      </c>
      <c r="M729" s="51">
        <f>BHP[[#This Row],[qtyDist2025]]*BHP[[#This Row],[hargaSatuan]]</f>
        <v>600000</v>
      </c>
      <c r="N729" s="82">
        <v>0</v>
      </c>
      <c r="O729" s="51">
        <f>BHP[[#This Row],[qtyEd2025]]*BHP[[#This Row],[hargaSatuan]]</f>
        <v>0</v>
      </c>
      <c r="P729" s="50">
        <f>BHP[[#This Row],[qtySaldoAwalSem1]]+BHP[[#This Row],[qtyTerima2025]]-(BHP[[#This Row],[qtyDist2025]]+BHP[[#This Row],[qtyEd2025]])</f>
        <v>0</v>
      </c>
      <c r="Q729" s="52">
        <f>BHP[[#This Row],[qtySaldoAkhir2025]]*BHP[[#This Row],[hargaSatuan]]</f>
        <v>0</v>
      </c>
      <c r="R729" s="74"/>
      <c r="S729" s="32">
        <f t="shared" si="22"/>
        <v>0</v>
      </c>
      <c r="T729" s="32">
        <f t="shared" si="23"/>
        <v>0</v>
      </c>
      <c r="U729" s="74"/>
      <c r="X729" s="74"/>
      <c r="Y729" s="74"/>
      <c r="Z729" s="74"/>
      <c r="AA729" s="74"/>
      <c r="AB729" s="74"/>
      <c r="AC729" s="74"/>
      <c r="AD729" s="74"/>
      <c r="AE729" s="74"/>
      <c r="AF729" s="74"/>
      <c r="AG729" s="74"/>
      <c r="AH729" s="74"/>
      <c r="AI729" s="74"/>
      <c r="AJ729" s="74"/>
      <c r="AK729" s="74"/>
      <c r="AL729" s="74"/>
      <c r="AM729" s="74"/>
      <c r="AN729" s="74"/>
      <c r="AO729" s="74"/>
      <c r="AP729" s="74"/>
      <c r="AQ729" s="74"/>
      <c r="AR729" s="74"/>
      <c r="AS729" s="74"/>
      <c r="AT729" s="74"/>
      <c r="AU729" s="74"/>
      <c r="AV729" s="74"/>
      <c r="AW729" s="74"/>
      <c r="AX729" s="74"/>
      <c r="AY729" s="74"/>
      <c r="AZ729" s="74"/>
      <c r="BA729" s="74"/>
      <c r="BB729" s="74"/>
      <c r="BC729" s="74"/>
      <c r="BD729" s="74"/>
      <c r="BE729" s="74"/>
      <c r="BF729" s="74"/>
      <c r="BG729" s="74"/>
    </row>
    <row r="730" spans="1:59" ht="14.4" x14ac:dyDescent="0.3">
      <c r="A730" s="44">
        <v>134</v>
      </c>
      <c r="B730" s="45" t="s">
        <v>871</v>
      </c>
      <c r="C730" s="46" t="s">
        <v>752</v>
      </c>
      <c r="D730" s="47"/>
      <c r="E730" s="48">
        <v>47453</v>
      </c>
      <c r="F730" s="49">
        <v>20000</v>
      </c>
      <c r="G730" s="45" t="s">
        <v>40</v>
      </c>
      <c r="H730" s="50">
        <v>150</v>
      </c>
      <c r="I730" s="49">
        <f>BHP[[#This Row],[qtySaldoAwalSem1]]*BHP[[#This Row],[hargaSatuan]]</f>
        <v>3000000</v>
      </c>
      <c r="J730" s="50">
        <v>0</v>
      </c>
      <c r="K730" s="51">
        <f>BHP[[#This Row],[qtyTerima2025]]*BHP[[#This Row],[hargaSatuan]]</f>
        <v>0</v>
      </c>
      <c r="L730" s="50">
        <v>150</v>
      </c>
      <c r="M730" s="51">
        <f>BHP[[#This Row],[qtyDist2025]]*BHP[[#This Row],[hargaSatuan]]</f>
        <v>3000000</v>
      </c>
      <c r="N730" s="50">
        <v>0</v>
      </c>
      <c r="O730" s="51">
        <f>BHP[[#This Row],[qtyEd2025]]*BHP[[#This Row],[hargaSatuan]]</f>
        <v>0</v>
      </c>
      <c r="P730" s="50">
        <f>BHP[[#This Row],[qtySaldoAwalSem1]]+BHP[[#This Row],[qtyTerima2025]]-(BHP[[#This Row],[qtyDist2025]]+BHP[[#This Row],[qtyEd2025]])</f>
        <v>0</v>
      </c>
      <c r="Q730" s="52">
        <f>BHP[[#This Row],[qtySaldoAkhir2025]]*BHP[[#This Row],[hargaSatuan]]</f>
        <v>0</v>
      </c>
      <c r="S730" s="32">
        <f t="shared" si="22"/>
        <v>0</v>
      </c>
      <c r="T730" s="32">
        <f t="shared" si="23"/>
        <v>0</v>
      </c>
    </row>
    <row r="731" spans="1:59" ht="28.8" x14ac:dyDescent="0.3">
      <c r="A731" s="44">
        <v>135</v>
      </c>
      <c r="B731" s="77" t="s">
        <v>872</v>
      </c>
      <c r="C731" s="78" t="s">
        <v>752</v>
      </c>
      <c r="D731" s="79"/>
      <c r="E731" s="80"/>
      <c r="F731" s="81">
        <v>12500</v>
      </c>
      <c r="G731" s="77" t="s">
        <v>40</v>
      </c>
      <c r="H731" s="82">
        <v>1100</v>
      </c>
      <c r="I731" s="49">
        <f>BHP[[#This Row],[qtySaldoAwalSem1]]*BHP[[#This Row],[hargaSatuan]]</f>
        <v>13750000</v>
      </c>
      <c r="J731" s="82">
        <v>0</v>
      </c>
      <c r="K731" s="51">
        <f>BHP[[#This Row],[qtyTerima2025]]*BHP[[#This Row],[hargaSatuan]]</f>
        <v>0</v>
      </c>
      <c r="L731" s="82">
        <v>1100</v>
      </c>
      <c r="M731" s="51">
        <f>BHP[[#This Row],[qtyDist2025]]*BHP[[#This Row],[hargaSatuan]]</f>
        <v>13750000</v>
      </c>
      <c r="N731" s="82">
        <v>0</v>
      </c>
      <c r="O731" s="51">
        <f>BHP[[#This Row],[qtyEd2025]]*BHP[[#This Row],[hargaSatuan]]</f>
        <v>0</v>
      </c>
      <c r="P731" s="50">
        <f>BHP[[#This Row],[qtySaldoAwalSem1]]+BHP[[#This Row],[qtyTerima2025]]-(BHP[[#This Row],[qtyDist2025]]+BHP[[#This Row],[qtyEd2025]])</f>
        <v>0</v>
      </c>
      <c r="Q731" s="52">
        <f>BHP[[#This Row],[qtySaldoAkhir2025]]*BHP[[#This Row],[hargaSatuan]]</f>
        <v>0</v>
      </c>
      <c r="R731" s="74"/>
      <c r="S731" s="32">
        <f t="shared" si="22"/>
        <v>0</v>
      </c>
      <c r="T731" s="32">
        <f t="shared" si="23"/>
        <v>0</v>
      </c>
      <c r="U731" s="74"/>
      <c r="X731" s="74"/>
      <c r="Y731" s="74"/>
      <c r="Z731" s="74"/>
      <c r="AA731" s="74"/>
      <c r="AB731" s="74"/>
      <c r="AC731" s="74"/>
      <c r="AD731" s="74"/>
      <c r="AE731" s="74"/>
      <c r="AF731" s="74"/>
      <c r="AG731" s="74"/>
      <c r="AH731" s="74"/>
      <c r="AI731" s="74"/>
      <c r="AJ731" s="74"/>
      <c r="AK731" s="74"/>
      <c r="AL731" s="74"/>
      <c r="AM731" s="74"/>
      <c r="AN731" s="74"/>
      <c r="AO731" s="74"/>
      <c r="AP731" s="74"/>
      <c r="AQ731" s="74"/>
      <c r="AR731" s="74"/>
      <c r="AS731" s="74"/>
      <c r="AT731" s="74"/>
      <c r="AU731" s="74"/>
      <c r="AV731" s="74"/>
      <c r="AW731" s="74"/>
      <c r="AX731" s="74"/>
      <c r="AY731" s="74"/>
      <c r="AZ731" s="74"/>
      <c r="BA731" s="74"/>
      <c r="BB731" s="74"/>
      <c r="BC731" s="74"/>
      <c r="BD731" s="74"/>
      <c r="BE731" s="74"/>
      <c r="BF731" s="74"/>
      <c r="BG731" s="74"/>
    </row>
    <row r="732" spans="1:59" ht="14.4" x14ac:dyDescent="0.3">
      <c r="A732" s="44">
        <v>136</v>
      </c>
      <c r="B732" s="45" t="s">
        <v>873</v>
      </c>
      <c r="C732" s="46" t="s">
        <v>752</v>
      </c>
      <c r="D732" s="47">
        <v>1052488</v>
      </c>
      <c r="E732" s="87">
        <v>46844</v>
      </c>
      <c r="F732" s="49">
        <v>18732</v>
      </c>
      <c r="G732" s="45" t="s">
        <v>17</v>
      </c>
      <c r="H732" s="50">
        <v>682</v>
      </c>
      <c r="I732" s="49">
        <f>BHP[[#This Row],[qtySaldoAwalSem1]]*BHP[[#This Row],[hargaSatuan]]</f>
        <v>12775224</v>
      </c>
      <c r="J732" s="50">
        <v>0</v>
      </c>
      <c r="K732" s="51">
        <f>BHP[[#This Row],[qtyTerima2025]]*BHP[[#This Row],[hargaSatuan]]</f>
        <v>0</v>
      </c>
      <c r="L732" s="50">
        <v>485</v>
      </c>
      <c r="M732" s="51">
        <f>BHP[[#This Row],[qtyDist2025]]*BHP[[#This Row],[hargaSatuan]]</f>
        <v>9085020</v>
      </c>
      <c r="N732" s="50">
        <v>0</v>
      </c>
      <c r="O732" s="51">
        <f>BHP[[#This Row],[qtyEd2025]]*BHP[[#This Row],[hargaSatuan]]</f>
        <v>0</v>
      </c>
      <c r="P732" s="50">
        <f>BHP[[#This Row],[qtySaldoAwalSem1]]+BHP[[#This Row],[qtyTerima2025]]-(BHP[[#This Row],[qtyDist2025]]+BHP[[#This Row],[qtyEd2025]])</f>
        <v>197</v>
      </c>
      <c r="Q732" s="52">
        <f>BHP[[#This Row],[qtySaldoAkhir2025]]*BHP[[#This Row],[hargaSatuan]]</f>
        <v>3690204</v>
      </c>
      <c r="S732" s="32">
        <f t="shared" si="22"/>
        <v>3690204</v>
      </c>
      <c r="T732" s="32">
        <f t="shared" si="23"/>
        <v>0</v>
      </c>
    </row>
    <row r="733" spans="1:59" ht="14.4" x14ac:dyDescent="0.3">
      <c r="A733" s="44">
        <v>137</v>
      </c>
      <c r="B733" s="45" t="s">
        <v>874</v>
      </c>
      <c r="C733" s="46" t="s">
        <v>752</v>
      </c>
      <c r="D733" s="47" t="s">
        <v>875</v>
      </c>
      <c r="E733" s="48">
        <v>46874</v>
      </c>
      <c r="F733" s="49">
        <v>21040.816326530599</v>
      </c>
      <c r="G733" s="88" t="s">
        <v>17</v>
      </c>
      <c r="H733" s="50">
        <v>220</v>
      </c>
      <c r="I733" s="49">
        <f>BHP[[#This Row],[qtySaldoAwalSem1]]*BHP[[#This Row],[hargaSatuan]]</f>
        <v>4628979.5918367319</v>
      </c>
      <c r="J733" s="50">
        <v>0</v>
      </c>
      <c r="K733" s="51">
        <f>BHP[[#This Row],[qtyTerima2025]]*BHP[[#This Row],[hargaSatuan]]</f>
        <v>0</v>
      </c>
      <c r="L733" s="50">
        <v>92</v>
      </c>
      <c r="M733" s="51">
        <f>BHP[[#This Row],[qtyDist2025]]*BHP[[#This Row],[hargaSatuan]]</f>
        <v>1935755.1020408152</v>
      </c>
      <c r="N733" s="50">
        <v>0</v>
      </c>
      <c r="O733" s="51">
        <f>BHP[[#This Row],[qtyEd2025]]*BHP[[#This Row],[hargaSatuan]]</f>
        <v>0</v>
      </c>
      <c r="P733" s="50">
        <f>BHP[[#This Row],[qtySaldoAwalSem1]]+BHP[[#This Row],[qtyTerima2025]]-(BHP[[#This Row],[qtyDist2025]]+BHP[[#This Row],[qtyEd2025]])</f>
        <v>128</v>
      </c>
      <c r="Q733" s="52">
        <f>BHP[[#This Row],[qtySaldoAkhir2025]]*BHP[[#This Row],[hargaSatuan]]</f>
        <v>2693224.4897959167</v>
      </c>
      <c r="S733" s="32">
        <f t="shared" si="22"/>
        <v>2693224.4897959167</v>
      </c>
      <c r="T733" s="32">
        <f t="shared" si="23"/>
        <v>0</v>
      </c>
    </row>
    <row r="734" spans="1:59" ht="14.4" x14ac:dyDescent="0.3">
      <c r="A734" s="44">
        <v>138</v>
      </c>
      <c r="B734" s="45" t="s">
        <v>876</v>
      </c>
      <c r="C734" s="46" t="s">
        <v>752</v>
      </c>
      <c r="D734" s="47">
        <v>4082288</v>
      </c>
      <c r="E734" s="48">
        <v>47150</v>
      </c>
      <c r="F734" s="49">
        <v>20470</v>
      </c>
      <c r="G734" s="88" t="s">
        <v>54</v>
      </c>
      <c r="H734" s="50">
        <v>182</v>
      </c>
      <c r="I734" s="49">
        <f>BHP[[#This Row],[qtySaldoAwalSem1]]*BHP[[#This Row],[hargaSatuan]]</f>
        <v>3725540</v>
      </c>
      <c r="J734" s="50">
        <v>0</v>
      </c>
      <c r="K734" s="51">
        <f>BHP[[#This Row],[qtyTerima2025]]*BHP[[#This Row],[hargaSatuan]]</f>
        <v>0</v>
      </c>
      <c r="L734" s="50">
        <v>182</v>
      </c>
      <c r="M734" s="51">
        <f>BHP[[#This Row],[qtyDist2025]]*BHP[[#This Row],[hargaSatuan]]</f>
        <v>3725540</v>
      </c>
      <c r="N734" s="50">
        <v>0</v>
      </c>
      <c r="O734" s="51">
        <f>BHP[[#This Row],[qtyEd2025]]*BHP[[#This Row],[hargaSatuan]]</f>
        <v>0</v>
      </c>
      <c r="P734" s="50">
        <f>BHP[[#This Row],[qtySaldoAwalSem1]]+BHP[[#This Row],[qtyTerima2025]]-(BHP[[#This Row],[qtyDist2025]]+BHP[[#This Row],[qtyEd2025]])</f>
        <v>0</v>
      </c>
      <c r="Q734" s="52">
        <f>BHP[[#This Row],[qtySaldoAkhir2025]]*BHP[[#This Row],[hargaSatuan]]</f>
        <v>0</v>
      </c>
      <c r="S734" s="32">
        <f t="shared" si="22"/>
        <v>0</v>
      </c>
      <c r="T734" s="32">
        <f t="shared" si="23"/>
        <v>0</v>
      </c>
    </row>
    <row r="735" spans="1:59" ht="14.4" x14ac:dyDescent="0.3">
      <c r="A735" s="44">
        <v>139</v>
      </c>
      <c r="B735" s="45" t="s">
        <v>876</v>
      </c>
      <c r="C735" s="46" t="s">
        <v>752</v>
      </c>
      <c r="D735" s="47">
        <v>2052488</v>
      </c>
      <c r="E735" s="87">
        <v>46993</v>
      </c>
      <c r="F735" s="49">
        <v>19482</v>
      </c>
      <c r="G735" s="88" t="s">
        <v>17</v>
      </c>
      <c r="H735" s="50">
        <v>500</v>
      </c>
      <c r="I735" s="49">
        <f>BHP[[#This Row],[qtySaldoAwalSem1]]*BHP[[#This Row],[hargaSatuan]]</f>
        <v>9741000</v>
      </c>
      <c r="J735" s="50">
        <v>0</v>
      </c>
      <c r="K735" s="51">
        <f>BHP[[#This Row],[qtyTerima2025]]*BHP[[#This Row],[hargaSatuan]]</f>
        <v>0</v>
      </c>
      <c r="L735" s="50">
        <v>376</v>
      </c>
      <c r="M735" s="51">
        <f>BHP[[#This Row],[qtyDist2025]]*BHP[[#This Row],[hargaSatuan]]</f>
        <v>7325232</v>
      </c>
      <c r="N735" s="50">
        <v>0</v>
      </c>
      <c r="O735" s="51">
        <f>BHP[[#This Row],[qtyEd2025]]*BHP[[#This Row],[hargaSatuan]]</f>
        <v>0</v>
      </c>
      <c r="P735" s="50">
        <f>BHP[[#This Row],[qtySaldoAwalSem1]]+BHP[[#This Row],[qtyTerima2025]]-(BHP[[#This Row],[qtyDist2025]]+BHP[[#This Row],[qtyEd2025]])</f>
        <v>124</v>
      </c>
      <c r="Q735" s="52">
        <f>BHP[[#This Row],[qtySaldoAkhir2025]]*BHP[[#This Row],[hargaSatuan]]</f>
        <v>2415768</v>
      </c>
      <c r="S735" s="32">
        <f t="shared" si="22"/>
        <v>2415768</v>
      </c>
      <c r="T735" s="32">
        <f t="shared" si="23"/>
        <v>0</v>
      </c>
    </row>
    <row r="736" spans="1:59" ht="14.4" x14ac:dyDescent="0.3">
      <c r="A736" s="44">
        <v>140</v>
      </c>
      <c r="B736" s="45" t="s">
        <v>877</v>
      </c>
      <c r="C736" s="46" t="s">
        <v>752</v>
      </c>
      <c r="D736" s="47">
        <v>3062488</v>
      </c>
      <c r="E736" s="48">
        <v>46204</v>
      </c>
      <c r="F736" s="49">
        <v>20470</v>
      </c>
      <c r="G736" s="45" t="s">
        <v>40</v>
      </c>
      <c r="H736" s="50">
        <v>0</v>
      </c>
      <c r="I736" s="49">
        <f>BHP[[#This Row],[qtySaldoAwalSem1]]*BHP[[#This Row],[hargaSatuan]]</f>
        <v>0</v>
      </c>
      <c r="J736" s="50">
        <v>50</v>
      </c>
      <c r="K736" s="51">
        <f>BHP[[#This Row],[qtyTerima2025]]*BHP[[#This Row],[hargaSatuan]]</f>
        <v>1023500</v>
      </c>
      <c r="L736" s="50">
        <v>0</v>
      </c>
      <c r="M736" s="51">
        <f>BHP[[#This Row],[qtyDist2025]]*BHP[[#This Row],[hargaSatuan]]</f>
        <v>0</v>
      </c>
      <c r="N736" s="50">
        <v>0</v>
      </c>
      <c r="O736" s="51">
        <v>0</v>
      </c>
      <c r="P736" s="50">
        <f>BHP[[#This Row],[qtySaldoAwalSem1]]+BHP[[#This Row],[qtyTerima2025]]-(BHP[[#This Row],[qtyDist2025]]+BHP[[#This Row],[qtyEd2025]])</f>
        <v>50</v>
      </c>
      <c r="Q736" s="52">
        <f>BHP[[#This Row],[qtySaldoAkhir2025]]*BHP[[#This Row],[hargaSatuan]]</f>
        <v>1023500</v>
      </c>
      <c r="S736" s="32">
        <f t="shared" si="22"/>
        <v>1023500</v>
      </c>
      <c r="T736" s="32">
        <f t="shared" si="23"/>
        <v>0</v>
      </c>
    </row>
    <row r="737" spans="1:20" ht="14.4" x14ac:dyDescent="0.3">
      <c r="A737" s="44">
        <v>141</v>
      </c>
      <c r="B737" s="45" t="s">
        <v>878</v>
      </c>
      <c r="C737" s="46" t="s">
        <v>752</v>
      </c>
      <c r="D737" s="47">
        <v>2092488</v>
      </c>
      <c r="E737" s="48">
        <v>46844</v>
      </c>
      <c r="F737" s="49">
        <v>19482</v>
      </c>
      <c r="G737" s="45" t="s">
        <v>40</v>
      </c>
      <c r="H737" s="50">
        <v>0</v>
      </c>
      <c r="I737" s="49">
        <f>BHP[[#This Row],[qtySaldoAwalSem1]]*BHP[[#This Row],[hargaSatuan]]</f>
        <v>0</v>
      </c>
      <c r="J737" s="50">
        <v>50</v>
      </c>
      <c r="K737" s="51">
        <f>BHP[[#This Row],[qtyTerima2025]]*BHP[[#This Row],[hargaSatuan]]</f>
        <v>974100</v>
      </c>
      <c r="L737" s="50">
        <v>28</v>
      </c>
      <c r="M737" s="51">
        <f>BHP[[#This Row],[qtyDist2025]]*BHP[[#This Row],[hargaSatuan]]</f>
        <v>545496</v>
      </c>
      <c r="N737" s="50">
        <v>0</v>
      </c>
      <c r="O737" s="51">
        <v>0</v>
      </c>
      <c r="P737" s="50">
        <f>BHP[[#This Row],[qtySaldoAwalSem1]]+BHP[[#This Row],[qtyTerima2025]]-(BHP[[#This Row],[qtyDist2025]]+BHP[[#This Row],[qtyEd2025]])</f>
        <v>22</v>
      </c>
      <c r="Q737" s="52">
        <f>BHP[[#This Row],[qtySaldoAkhir2025]]*BHP[[#This Row],[hargaSatuan]]</f>
        <v>428604</v>
      </c>
      <c r="S737" s="32">
        <f t="shared" si="22"/>
        <v>428604</v>
      </c>
      <c r="T737" s="32">
        <f t="shared" si="23"/>
        <v>0</v>
      </c>
    </row>
    <row r="738" spans="1:20" ht="14.4" x14ac:dyDescent="0.3">
      <c r="A738" s="44">
        <v>142</v>
      </c>
      <c r="B738" s="45" t="s">
        <v>879</v>
      </c>
      <c r="C738" s="46" t="s">
        <v>784</v>
      </c>
      <c r="D738" s="47">
        <v>1082488</v>
      </c>
      <c r="E738" s="87">
        <v>46962</v>
      </c>
      <c r="F738" s="49">
        <v>24450</v>
      </c>
      <c r="G738" s="45" t="s">
        <v>40</v>
      </c>
      <c r="H738" s="50">
        <v>0</v>
      </c>
      <c r="I738" s="49">
        <f>BHP[[#This Row],[qtySaldoAwalSem1]]*BHP[[#This Row],[hargaSatuan]]</f>
        <v>0</v>
      </c>
      <c r="J738" s="50">
        <v>50</v>
      </c>
      <c r="K738" s="51">
        <f>BHP[[#This Row],[qtyTerima2025]]*BHP[[#This Row],[hargaSatuan]]</f>
        <v>1222500</v>
      </c>
      <c r="L738" s="50">
        <v>0</v>
      </c>
      <c r="M738" s="51">
        <f>BHP[[#This Row],[qtyDist2025]]*BHP[[#This Row],[hargaSatuan]]</f>
        <v>0</v>
      </c>
      <c r="N738" s="50">
        <v>0</v>
      </c>
      <c r="O738" s="51">
        <v>0</v>
      </c>
      <c r="P738" s="50">
        <f>BHP[[#This Row],[qtySaldoAwalSem1]]+BHP[[#This Row],[qtyTerima2025]]-(BHP[[#This Row],[qtyDist2025]]+BHP[[#This Row],[qtyEd2025]])</f>
        <v>50</v>
      </c>
      <c r="Q738" s="52">
        <f>BHP[[#This Row],[qtySaldoAkhir2025]]*BHP[[#This Row],[hargaSatuan]]</f>
        <v>1222500</v>
      </c>
      <c r="S738" s="32">
        <f t="shared" si="22"/>
        <v>1222500</v>
      </c>
      <c r="T738" s="32">
        <f t="shared" si="23"/>
        <v>0</v>
      </c>
    </row>
    <row r="739" spans="1:20" ht="14.4" x14ac:dyDescent="0.3">
      <c r="A739" s="44">
        <v>143</v>
      </c>
      <c r="B739" s="45" t="s">
        <v>880</v>
      </c>
      <c r="C739" s="46" t="s">
        <v>752</v>
      </c>
      <c r="D739" s="47" t="s">
        <v>881</v>
      </c>
      <c r="E739" s="48">
        <v>46113</v>
      </c>
      <c r="F739" s="49">
        <v>4266</v>
      </c>
      <c r="G739" s="45" t="s">
        <v>54</v>
      </c>
      <c r="H739" s="50">
        <v>12</v>
      </c>
      <c r="I739" s="49">
        <f>BHP[[#This Row],[qtySaldoAwalSem1]]*BHP[[#This Row],[hargaSatuan]]</f>
        <v>51192</v>
      </c>
      <c r="J739" s="50">
        <v>0</v>
      </c>
      <c r="K739" s="51">
        <f>BHP[[#This Row],[qtyTerima2025]]*BHP[[#This Row],[hargaSatuan]]</f>
        <v>0</v>
      </c>
      <c r="L739" s="50">
        <v>12</v>
      </c>
      <c r="M739" s="51">
        <f>BHP[[#This Row],[qtyDist2025]]*BHP[[#This Row],[hargaSatuan]]</f>
        <v>51192</v>
      </c>
      <c r="N739" s="50">
        <v>0</v>
      </c>
      <c r="O739" s="51">
        <f>BHP[[#This Row],[qtyEd2025]]*BHP[[#This Row],[hargaSatuan]]</f>
        <v>0</v>
      </c>
      <c r="P739" s="50">
        <f>BHP[[#This Row],[qtySaldoAwalSem1]]+BHP[[#This Row],[qtyTerima2025]]-(BHP[[#This Row],[qtyDist2025]]+BHP[[#This Row],[qtyEd2025]])</f>
        <v>0</v>
      </c>
      <c r="Q739" s="52">
        <f>BHP[[#This Row],[qtySaldoAkhir2025]]*BHP[[#This Row],[hargaSatuan]]</f>
        <v>0</v>
      </c>
      <c r="S739" s="32">
        <f t="shared" si="22"/>
        <v>0</v>
      </c>
      <c r="T739" s="32">
        <f t="shared" si="23"/>
        <v>0</v>
      </c>
    </row>
    <row r="740" spans="1:20" ht="14.4" x14ac:dyDescent="0.3">
      <c r="A740" s="44">
        <v>144</v>
      </c>
      <c r="B740" s="45" t="s">
        <v>882</v>
      </c>
      <c r="C740" s="46" t="s">
        <v>752</v>
      </c>
      <c r="D740" s="47" t="s">
        <v>883</v>
      </c>
      <c r="E740" s="48">
        <v>47406</v>
      </c>
      <c r="F740" s="49">
        <v>510</v>
      </c>
      <c r="G740" s="45" t="s">
        <v>41</v>
      </c>
      <c r="H740" s="50">
        <v>0</v>
      </c>
      <c r="I740" s="49">
        <f>BHP[[#This Row],[qtySaldoAwalSem1]]*BHP[[#This Row],[hargaSatuan]]</f>
        <v>0</v>
      </c>
      <c r="J740" s="50">
        <v>2000</v>
      </c>
      <c r="K740" s="51">
        <f>BHP[[#This Row],[qtyTerima2025]]*BHP[[#This Row],[hargaSatuan]]</f>
        <v>1020000</v>
      </c>
      <c r="L740" s="50">
        <v>1655</v>
      </c>
      <c r="M740" s="51">
        <f>BHP[[#This Row],[qtyDist2025]]*BHP[[#This Row],[hargaSatuan]]</f>
        <v>844050</v>
      </c>
      <c r="N740" s="50">
        <v>0</v>
      </c>
      <c r="O740" s="51">
        <v>0</v>
      </c>
      <c r="P740" s="50">
        <f>BHP[[#This Row],[qtySaldoAwalSem1]]+BHP[[#This Row],[qtyTerima2025]]-(BHP[[#This Row],[qtyDist2025]]+BHP[[#This Row],[qtyEd2025]])</f>
        <v>345</v>
      </c>
      <c r="Q740" s="52">
        <f>BHP[[#This Row],[qtySaldoAkhir2025]]*BHP[[#This Row],[hargaSatuan]]</f>
        <v>175950</v>
      </c>
      <c r="S740" s="32">
        <f t="shared" si="22"/>
        <v>175950</v>
      </c>
      <c r="T740" s="32">
        <f t="shared" si="23"/>
        <v>0</v>
      </c>
    </row>
    <row r="741" spans="1:20" ht="14.4" x14ac:dyDescent="0.3">
      <c r="A741" s="44">
        <v>145</v>
      </c>
      <c r="B741" s="45" t="s">
        <v>884</v>
      </c>
      <c r="C741" s="46" t="s">
        <v>752</v>
      </c>
      <c r="D741" s="47">
        <v>14042588</v>
      </c>
      <c r="E741" s="87">
        <v>46812</v>
      </c>
      <c r="F741" s="49">
        <v>4370.6490000000003</v>
      </c>
      <c r="G741" s="45" t="s">
        <v>41</v>
      </c>
      <c r="H741" s="50">
        <v>0</v>
      </c>
      <c r="I741" s="49">
        <f>BHP[[#This Row],[qtySaldoAwalSem1]]*BHP[[#This Row],[hargaSatuan]]</f>
        <v>0</v>
      </c>
      <c r="J741" s="50">
        <v>2000</v>
      </c>
      <c r="K741" s="51">
        <f>BHP[[#This Row],[qtyTerima2025]]*BHP[[#This Row],[hargaSatuan]]</f>
        <v>8741298</v>
      </c>
      <c r="L741" s="50">
        <v>100</v>
      </c>
      <c r="M741" s="51">
        <f>BHP[[#This Row],[qtyDist2025]]*BHP[[#This Row],[hargaSatuan]]</f>
        <v>437064.9</v>
      </c>
      <c r="N741" s="50">
        <v>0</v>
      </c>
      <c r="O741" s="51">
        <v>0</v>
      </c>
      <c r="P741" s="50">
        <f>BHP[[#This Row],[qtySaldoAwalSem1]]+BHP[[#This Row],[qtyTerima2025]]-(BHP[[#This Row],[qtyDist2025]]+BHP[[#This Row],[qtyEd2025]])</f>
        <v>1900</v>
      </c>
      <c r="Q741" s="52">
        <f>BHP[[#This Row],[qtySaldoAkhir2025]]*BHP[[#This Row],[hargaSatuan]]</f>
        <v>8304233.1000000006</v>
      </c>
      <c r="S741" s="32">
        <f t="shared" si="22"/>
        <v>8304233.0999999996</v>
      </c>
      <c r="T741" s="32">
        <f t="shared" si="23"/>
        <v>9.3132257461547852E-10</v>
      </c>
    </row>
    <row r="742" spans="1:20" ht="14.4" x14ac:dyDescent="0.3">
      <c r="A742" s="44">
        <v>146</v>
      </c>
      <c r="B742" s="45" t="s">
        <v>885</v>
      </c>
      <c r="C742" s="46" t="s">
        <v>292</v>
      </c>
      <c r="D742" s="47" t="s">
        <v>886</v>
      </c>
      <c r="E742" s="87">
        <v>46568</v>
      </c>
      <c r="F742" s="49">
        <v>122496</v>
      </c>
      <c r="G742" s="45" t="s">
        <v>40</v>
      </c>
      <c r="H742" s="50">
        <v>0</v>
      </c>
      <c r="I742" s="49">
        <f>BHP[[#This Row],[qtySaldoAwalSem1]]*BHP[[#This Row],[hargaSatuan]]</f>
        <v>0</v>
      </c>
      <c r="J742" s="50">
        <v>34</v>
      </c>
      <c r="K742" s="51">
        <f>BHP[[#This Row],[qtyTerima2025]]*BHP[[#This Row],[hargaSatuan]]</f>
        <v>4164864</v>
      </c>
      <c r="L742" s="50">
        <v>0</v>
      </c>
      <c r="M742" s="51">
        <f>BHP[[#This Row],[qtyDist2025]]*BHP[[#This Row],[hargaSatuan]]</f>
        <v>0</v>
      </c>
      <c r="N742" s="50">
        <v>0</v>
      </c>
      <c r="O742" s="51">
        <v>0</v>
      </c>
      <c r="P742" s="50">
        <f>BHP[[#This Row],[qtySaldoAwalSem1]]+BHP[[#This Row],[qtyTerima2025]]-(BHP[[#This Row],[qtyDist2025]]+BHP[[#This Row],[qtyEd2025]])</f>
        <v>34</v>
      </c>
      <c r="Q742" s="52">
        <f>BHP[[#This Row],[qtySaldoAkhir2025]]*BHP[[#This Row],[hargaSatuan]]</f>
        <v>4164864</v>
      </c>
      <c r="S742" s="32">
        <f t="shared" si="22"/>
        <v>4164864</v>
      </c>
      <c r="T742" s="32">
        <f t="shared" si="23"/>
        <v>0</v>
      </c>
    </row>
    <row r="743" spans="1:20" ht="14.4" x14ac:dyDescent="0.3">
      <c r="A743" s="44">
        <v>147</v>
      </c>
      <c r="B743" s="45" t="s">
        <v>887</v>
      </c>
      <c r="C743" s="46" t="s">
        <v>752</v>
      </c>
      <c r="D743" s="47">
        <v>19052388</v>
      </c>
      <c r="E743" s="87">
        <v>46844</v>
      </c>
      <c r="F743" s="49">
        <v>7403.7</v>
      </c>
      <c r="G743" s="45" t="s">
        <v>17</v>
      </c>
      <c r="H743" s="50">
        <v>150</v>
      </c>
      <c r="I743" s="49">
        <f>BHP[[#This Row],[qtySaldoAwalSem1]]*BHP[[#This Row],[hargaSatuan]]</f>
        <v>1110555</v>
      </c>
      <c r="J743" s="50">
        <v>0</v>
      </c>
      <c r="K743" s="51">
        <f>BHP[[#This Row],[qtyTerima2025]]*BHP[[#This Row],[hargaSatuan]]</f>
        <v>0</v>
      </c>
      <c r="L743" s="50">
        <v>150</v>
      </c>
      <c r="M743" s="51">
        <f>BHP[[#This Row],[qtyDist2025]]*BHP[[#This Row],[hargaSatuan]]</f>
        <v>1110555</v>
      </c>
      <c r="N743" s="50">
        <v>0</v>
      </c>
      <c r="O743" s="51">
        <f>BHP[[#This Row],[qtyEd2025]]*BHP[[#This Row],[hargaSatuan]]</f>
        <v>0</v>
      </c>
      <c r="P743" s="50">
        <f>BHP[[#This Row],[qtySaldoAwalSem1]]+BHP[[#This Row],[qtyTerima2025]]-(BHP[[#This Row],[qtyDist2025]]+BHP[[#This Row],[qtyEd2025]])</f>
        <v>0</v>
      </c>
      <c r="Q743" s="52">
        <f>BHP[[#This Row],[qtySaldoAkhir2025]]*BHP[[#This Row],[hargaSatuan]]</f>
        <v>0</v>
      </c>
      <c r="S743" s="32">
        <f t="shared" si="22"/>
        <v>0</v>
      </c>
      <c r="T743" s="32">
        <f t="shared" si="23"/>
        <v>0</v>
      </c>
    </row>
    <row r="744" spans="1:20" ht="14.4" x14ac:dyDescent="0.3">
      <c r="A744" s="44">
        <v>148</v>
      </c>
      <c r="B744" s="45" t="s">
        <v>888</v>
      </c>
      <c r="C744" s="46" t="s">
        <v>752</v>
      </c>
      <c r="D744" s="47">
        <v>11072288</v>
      </c>
      <c r="E744" s="87">
        <v>46539</v>
      </c>
      <c r="F744" s="49">
        <v>1920</v>
      </c>
      <c r="G744" s="45" t="s">
        <v>54</v>
      </c>
      <c r="H744" s="50">
        <v>150</v>
      </c>
      <c r="I744" s="49">
        <f>BHP[[#This Row],[qtySaldoAwalSem1]]*BHP[[#This Row],[hargaSatuan]]</f>
        <v>288000</v>
      </c>
      <c r="J744" s="50">
        <v>0</v>
      </c>
      <c r="K744" s="51">
        <f>BHP[[#This Row],[qtyTerima2025]]*BHP[[#This Row],[hargaSatuan]]</f>
        <v>0</v>
      </c>
      <c r="L744" s="50">
        <v>150</v>
      </c>
      <c r="M744" s="51">
        <f>BHP[[#This Row],[qtyDist2025]]*BHP[[#This Row],[hargaSatuan]]</f>
        <v>288000</v>
      </c>
      <c r="N744" s="50">
        <v>0</v>
      </c>
      <c r="O744" s="51">
        <f>BHP[[#This Row],[qtyEd2025]]*BHP[[#This Row],[hargaSatuan]]</f>
        <v>0</v>
      </c>
      <c r="P744" s="50">
        <f>BHP[[#This Row],[qtySaldoAwalSem1]]+BHP[[#This Row],[qtyTerima2025]]-(BHP[[#This Row],[qtyDist2025]]+BHP[[#This Row],[qtyEd2025]])</f>
        <v>0</v>
      </c>
      <c r="Q744" s="52">
        <f>BHP[[#This Row],[qtySaldoAkhir2025]]*BHP[[#This Row],[hargaSatuan]]</f>
        <v>0</v>
      </c>
      <c r="S744" s="32">
        <f t="shared" si="22"/>
        <v>0</v>
      </c>
      <c r="T744" s="32">
        <f t="shared" si="23"/>
        <v>0</v>
      </c>
    </row>
    <row r="745" spans="1:20" ht="14.4" x14ac:dyDescent="0.3">
      <c r="A745" s="44">
        <v>149</v>
      </c>
      <c r="B745" s="45" t="s">
        <v>888</v>
      </c>
      <c r="C745" s="46" t="s">
        <v>752</v>
      </c>
      <c r="D745" s="47">
        <v>1042488</v>
      </c>
      <c r="E745" s="87">
        <v>47178</v>
      </c>
      <c r="F745" s="49">
        <v>1977.15</v>
      </c>
      <c r="G745" s="45" t="s">
        <v>54</v>
      </c>
      <c r="H745" s="50">
        <v>950</v>
      </c>
      <c r="I745" s="49">
        <f>BHP[[#This Row],[qtySaldoAwalSem1]]*BHP[[#This Row],[hargaSatuan]]</f>
        <v>1878292.5</v>
      </c>
      <c r="J745" s="50">
        <v>0</v>
      </c>
      <c r="K745" s="51">
        <f>BHP[[#This Row],[qtyTerima2025]]*BHP[[#This Row],[hargaSatuan]]</f>
        <v>0</v>
      </c>
      <c r="L745" s="50">
        <v>510</v>
      </c>
      <c r="M745" s="51">
        <f>BHP[[#This Row],[qtyDist2025]]*BHP[[#This Row],[hargaSatuan]]</f>
        <v>1008346.5</v>
      </c>
      <c r="N745" s="50">
        <v>0</v>
      </c>
      <c r="O745" s="51">
        <f>BHP[[#This Row],[qtyEd2025]]*BHP[[#This Row],[hargaSatuan]]</f>
        <v>0</v>
      </c>
      <c r="P745" s="50">
        <f>BHP[[#This Row],[qtySaldoAwalSem1]]+BHP[[#This Row],[qtyTerima2025]]-(BHP[[#This Row],[qtyDist2025]]+BHP[[#This Row],[qtyEd2025]])</f>
        <v>440</v>
      </c>
      <c r="Q745" s="52">
        <f>BHP[[#This Row],[qtySaldoAkhir2025]]*BHP[[#This Row],[hargaSatuan]]</f>
        <v>869946</v>
      </c>
      <c r="S745" s="32">
        <f t="shared" si="22"/>
        <v>869946</v>
      </c>
      <c r="T745" s="32">
        <f t="shared" si="23"/>
        <v>0</v>
      </c>
    </row>
    <row r="746" spans="1:20" ht="14.4" x14ac:dyDescent="0.3">
      <c r="A746" s="44">
        <v>150</v>
      </c>
      <c r="B746" s="45" t="s">
        <v>889</v>
      </c>
      <c r="C746" s="46" t="s">
        <v>752</v>
      </c>
      <c r="D746" s="47">
        <v>6211103</v>
      </c>
      <c r="E746" s="48">
        <v>46327</v>
      </c>
      <c r="F746" s="49">
        <v>724</v>
      </c>
      <c r="G746" s="45" t="s">
        <v>54</v>
      </c>
      <c r="H746" s="50">
        <v>46600</v>
      </c>
      <c r="I746" s="49">
        <f>BHP[[#This Row],[qtySaldoAwalSem1]]*BHP[[#This Row],[hargaSatuan]]</f>
        <v>33738400</v>
      </c>
      <c r="J746" s="50">
        <v>0</v>
      </c>
      <c r="K746" s="51">
        <f>BHP[[#This Row],[qtyTerima2025]]*BHP[[#This Row],[hargaSatuan]]</f>
        <v>0</v>
      </c>
      <c r="L746" s="50">
        <v>200</v>
      </c>
      <c r="M746" s="51">
        <f>BHP[[#This Row],[qtyDist2025]]*BHP[[#This Row],[hargaSatuan]]</f>
        <v>144800</v>
      </c>
      <c r="N746" s="50">
        <v>0</v>
      </c>
      <c r="O746" s="51">
        <f>BHP[[#This Row],[qtyEd2025]]*BHP[[#This Row],[hargaSatuan]]</f>
        <v>0</v>
      </c>
      <c r="P746" s="50">
        <f>BHP[[#This Row],[qtySaldoAwalSem1]]+BHP[[#This Row],[qtyTerima2025]]-(BHP[[#This Row],[qtyDist2025]]+BHP[[#This Row],[qtyEd2025]])</f>
        <v>46400</v>
      </c>
      <c r="Q746" s="52">
        <f>BHP[[#This Row],[qtySaldoAkhir2025]]*BHP[[#This Row],[hargaSatuan]]</f>
        <v>33593600</v>
      </c>
      <c r="S746" s="32">
        <f t="shared" si="22"/>
        <v>33593600</v>
      </c>
      <c r="T746" s="32">
        <f t="shared" si="23"/>
        <v>0</v>
      </c>
    </row>
    <row r="747" spans="1:20" ht="14.4" x14ac:dyDescent="0.3">
      <c r="A747" s="44">
        <v>151</v>
      </c>
      <c r="B747" s="45" t="s">
        <v>890</v>
      </c>
      <c r="C747" s="46" t="s">
        <v>752</v>
      </c>
      <c r="D747" s="47">
        <v>0</v>
      </c>
      <c r="E747" s="48"/>
      <c r="F747" s="49">
        <v>27500</v>
      </c>
      <c r="G747" s="45" t="s">
        <v>40</v>
      </c>
      <c r="H747" s="50">
        <v>20</v>
      </c>
      <c r="I747" s="49">
        <f>BHP[[#This Row],[qtySaldoAwalSem1]]*BHP[[#This Row],[hargaSatuan]]</f>
        <v>550000</v>
      </c>
      <c r="J747" s="50">
        <v>0</v>
      </c>
      <c r="K747" s="51">
        <f>BHP[[#This Row],[qtyTerima2025]]*BHP[[#This Row],[hargaSatuan]]</f>
        <v>0</v>
      </c>
      <c r="L747" s="50">
        <v>20</v>
      </c>
      <c r="M747" s="51">
        <f>BHP[[#This Row],[qtyDist2025]]*BHP[[#This Row],[hargaSatuan]]</f>
        <v>550000</v>
      </c>
      <c r="N747" s="50">
        <v>0</v>
      </c>
      <c r="O747" s="51">
        <f>BHP[[#This Row],[qtyEd2025]]*BHP[[#This Row],[hargaSatuan]]</f>
        <v>0</v>
      </c>
      <c r="P747" s="50">
        <f>BHP[[#This Row],[qtySaldoAwalSem1]]+BHP[[#This Row],[qtyTerima2025]]-(BHP[[#This Row],[qtyDist2025]]+BHP[[#This Row],[qtyEd2025]])</f>
        <v>0</v>
      </c>
      <c r="Q747" s="52">
        <f>BHP[[#This Row],[qtySaldoAkhir2025]]*BHP[[#This Row],[hargaSatuan]]</f>
        <v>0</v>
      </c>
      <c r="S747" s="32">
        <f t="shared" si="22"/>
        <v>0</v>
      </c>
      <c r="T747" s="32">
        <f t="shared" si="23"/>
        <v>0</v>
      </c>
    </row>
    <row r="748" spans="1:20" ht="14.4" x14ac:dyDescent="0.3">
      <c r="A748" s="44">
        <v>152</v>
      </c>
      <c r="B748" s="45" t="s">
        <v>891</v>
      </c>
      <c r="C748" s="46" t="s">
        <v>752</v>
      </c>
      <c r="D748" s="47">
        <v>2807228</v>
      </c>
      <c r="E748" s="87">
        <v>46539</v>
      </c>
      <c r="F748" s="49">
        <v>409.34</v>
      </c>
      <c r="G748" s="45" t="s">
        <v>54</v>
      </c>
      <c r="H748" s="50">
        <v>70500</v>
      </c>
      <c r="I748" s="49">
        <f>BHP[[#This Row],[qtySaldoAwalSem1]]*BHP[[#This Row],[hargaSatuan]]</f>
        <v>28858470</v>
      </c>
      <c r="J748" s="50">
        <v>0</v>
      </c>
      <c r="K748" s="51">
        <f>BHP[[#This Row],[qtyTerima2025]]*BHP[[#This Row],[hargaSatuan]]</f>
        <v>0</v>
      </c>
      <c r="L748" s="50">
        <v>17400</v>
      </c>
      <c r="M748" s="51">
        <f>BHP[[#This Row],[qtyDist2025]]*BHP[[#This Row],[hargaSatuan]]</f>
        <v>7122516</v>
      </c>
      <c r="N748" s="50">
        <v>0</v>
      </c>
      <c r="O748" s="51">
        <f>BHP[[#This Row],[qtyEd2025]]*BHP[[#This Row],[hargaSatuan]]</f>
        <v>0</v>
      </c>
      <c r="P748" s="50">
        <f>BHP[[#This Row],[qtySaldoAwalSem1]]+BHP[[#This Row],[qtyTerima2025]]-(BHP[[#This Row],[qtyDist2025]]+BHP[[#This Row],[qtyEd2025]])</f>
        <v>53100</v>
      </c>
      <c r="Q748" s="52">
        <f>BHP[[#This Row],[qtySaldoAkhir2025]]*BHP[[#This Row],[hargaSatuan]]</f>
        <v>21735954</v>
      </c>
      <c r="S748" s="32">
        <f t="shared" si="22"/>
        <v>21735954</v>
      </c>
      <c r="T748" s="32">
        <f t="shared" si="23"/>
        <v>0</v>
      </c>
    </row>
    <row r="749" spans="1:20" ht="14.4" x14ac:dyDescent="0.3">
      <c r="A749" s="44">
        <v>153</v>
      </c>
      <c r="B749" s="45" t="s">
        <v>892</v>
      </c>
      <c r="C749" s="46" t="s">
        <v>752</v>
      </c>
      <c r="D749" s="47">
        <v>30062288</v>
      </c>
      <c r="E749" s="48">
        <v>46508</v>
      </c>
      <c r="F749" s="49">
        <v>740</v>
      </c>
      <c r="G749" s="45" t="s">
        <v>54</v>
      </c>
      <c r="H749" s="50">
        <v>10275</v>
      </c>
      <c r="I749" s="49">
        <f>BHP[[#This Row],[qtySaldoAwalSem1]]*BHP[[#This Row],[hargaSatuan]]</f>
        <v>7603500</v>
      </c>
      <c r="J749" s="50">
        <v>0</v>
      </c>
      <c r="K749" s="51">
        <f>BHP[[#This Row],[qtyTerima2025]]*BHP[[#This Row],[hargaSatuan]]</f>
        <v>0</v>
      </c>
      <c r="L749" s="50">
        <v>1450</v>
      </c>
      <c r="M749" s="51">
        <f>BHP[[#This Row],[qtyDist2025]]*BHP[[#This Row],[hargaSatuan]]</f>
        <v>1073000</v>
      </c>
      <c r="N749" s="50">
        <v>0</v>
      </c>
      <c r="O749" s="51">
        <f>BHP[[#This Row],[qtyEd2025]]*BHP[[#This Row],[hargaSatuan]]</f>
        <v>0</v>
      </c>
      <c r="P749" s="50">
        <f>BHP[[#This Row],[qtySaldoAwalSem1]]+BHP[[#This Row],[qtyTerima2025]]-(BHP[[#This Row],[qtyDist2025]]+BHP[[#This Row],[qtyEd2025]])</f>
        <v>8825</v>
      </c>
      <c r="Q749" s="52">
        <f>BHP[[#This Row],[qtySaldoAkhir2025]]*BHP[[#This Row],[hargaSatuan]]</f>
        <v>6530500</v>
      </c>
      <c r="S749" s="32">
        <f t="shared" si="22"/>
        <v>6530500</v>
      </c>
      <c r="T749" s="32">
        <f t="shared" si="23"/>
        <v>0</v>
      </c>
    </row>
    <row r="750" spans="1:20" ht="14.4" x14ac:dyDescent="0.3">
      <c r="A750" s="44">
        <v>154</v>
      </c>
      <c r="B750" s="45" t="s">
        <v>892</v>
      </c>
      <c r="C750" s="46" t="s">
        <v>752</v>
      </c>
      <c r="D750" s="47">
        <v>28032488</v>
      </c>
      <c r="E750" s="48">
        <v>47150</v>
      </c>
      <c r="F750" s="49">
        <v>704.62759999999992</v>
      </c>
      <c r="G750" s="45" t="s">
        <v>54</v>
      </c>
      <c r="H750" s="50">
        <v>800</v>
      </c>
      <c r="I750" s="49">
        <f>BHP[[#This Row],[qtySaldoAwalSem1]]*BHP[[#This Row],[hargaSatuan]]</f>
        <v>563702.07999999996</v>
      </c>
      <c r="J750" s="50">
        <v>0</v>
      </c>
      <c r="K750" s="51">
        <f>BHP[[#This Row],[qtyTerima2025]]*BHP[[#This Row],[hargaSatuan]]</f>
        <v>0</v>
      </c>
      <c r="L750" s="50">
        <v>0</v>
      </c>
      <c r="M750" s="51">
        <f>BHP[[#This Row],[qtyDist2025]]*BHP[[#This Row],[hargaSatuan]]</f>
        <v>0</v>
      </c>
      <c r="N750" s="50">
        <v>0</v>
      </c>
      <c r="O750" s="51">
        <f>BHP[[#This Row],[qtyEd2025]]*BHP[[#This Row],[hargaSatuan]]</f>
        <v>0</v>
      </c>
      <c r="P750" s="50">
        <f>BHP[[#This Row],[qtySaldoAwalSem1]]+BHP[[#This Row],[qtyTerima2025]]-(BHP[[#This Row],[qtyDist2025]]+BHP[[#This Row],[qtyEd2025]])</f>
        <v>800</v>
      </c>
      <c r="Q750" s="52">
        <f>BHP[[#This Row],[qtySaldoAkhir2025]]*BHP[[#This Row],[hargaSatuan]]</f>
        <v>563702.07999999996</v>
      </c>
      <c r="S750" s="32">
        <f t="shared" si="22"/>
        <v>563702.07999999996</v>
      </c>
      <c r="T750" s="32">
        <f t="shared" si="23"/>
        <v>0</v>
      </c>
    </row>
    <row r="751" spans="1:20" ht="14.4" x14ac:dyDescent="0.3">
      <c r="A751" s="44">
        <v>155</v>
      </c>
      <c r="B751" s="45" t="s">
        <v>893</v>
      </c>
      <c r="C751" s="46" t="s">
        <v>752</v>
      </c>
      <c r="D751" s="47">
        <v>2082288</v>
      </c>
      <c r="E751" s="87">
        <v>46569</v>
      </c>
      <c r="F751" s="49">
        <v>201.52571428571429</v>
      </c>
      <c r="G751" s="45" t="s">
        <v>54</v>
      </c>
      <c r="H751" s="50">
        <v>60000</v>
      </c>
      <c r="I751" s="49">
        <f>BHP[[#This Row],[qtySaldoAwalSem1]]*BHP[[#This Row],[hargaSatuan]]</f>
        <v>12091542.857142856</v>
      </c>
      <c r="J751" s="50">
        <v>0</v>
      </c>
      <c r="K751" s="51">
        <f>BHP[[#This Row],[qtyTerima2025]]*BHP[[#This Row],[hargaSatuan]]</f>
        <v>0</v>
      </c>
      <c r="L751" s="50">
        <v>3800</v>
      </c>
      <c r="M751" s="51">
        <f>BHP[[#This Row],[qtyDist2025]]*BHP[[#This Row],[hargaSatuan]]</f>
        <v>765797.71428571432</v>
      </c>
      <c r="N751" s="50">
        <v>0</v>
      </c>
      <c r="O751" s="51">
        <f>BHP[[#This Row],[qtyEd2025]]*BHP[[#This Row],[hargaSatuan]]</f>
        <v>0</v>
      </c>
      <c r="P751" s="50">
        <f>BHP[[#This Row],[qtySaldoAwalSem1]]+BHP[[#This Row],[qtyTerima2025]]-(BHP[[#This Row],[qtyDist2025]]+BHP[[#This Row],[qtyEd2025]])</f>
        <v>56200</v>
      </c>
      <c r="Q751" s="52">
        <f>BHP[[#This Row],[qtySaldoAkhir2025]]*BHP[[#This Row],[hargaSatuan]]</f>
        <v>11325745.142857144</v>
      </c>
      <c r="S751" s="32">
        <f t="shared" si="22"/>
        <v>11325745.142857142</v>
      </c>
      <c r="T751" s="32">
        <f t="shared" si="23"/>
        <v>1.862645149230957E-9</v>
      </c>
    </row>
    <row r="752" spans="1:20" ht="14.4" x14ac:dyDescent="0.3">
      <c r="A752" s="44">
        <v>156</v>
      </c>
      <c r="B752" s="45" t="s">
        <v>894</v>
      </c>
      <c r="C752" s="46" t="s">
        <v>838</v>
      </c>
      <c r="D752" s="47">
        <v>11072388</v>
      </c>
      <c r="E752" s="87">
        <v>46905</v>
      </c>
      <c r="F752" s="49">
        <v>82420</v>
      </c>
      <c r="G752" s="45" t="s">
        <v>17</v>
      </c>
      <c r="H752" s="50">
        <v>517</v>
      </c>
      <c r="I752" s="49">
        <f>BHP[[#This Row],[qtySaldoAwalSem1]]*BHP[[#This Row],[hargaSatuan]]</f>
        <v>42611140</v>
      </c>
      <c r="J752" s="50">
        <v>0</v>
      </c>
      <c r="K752" s="51">
        <f>BHP[[#This Row],[qtyTerima2025]]*BHP[[#This Row],[hargaSatuan]]</f>
        <v>0</v>
      </c>
      <c r="L752" s="50">
        <v>193</v>
      </c>
      <c r="M752" s="51">
        <f>BHP[[#This Row],[qtyDist2025]]*BHP[[#This Row],[hargaSatuan]]</f>
        <v>15907060</v>
      </c>
      <c r="N752" s="50">
        <v>0</v>
      </c>
      <c r="O752" s="51">
        <f>BHP[[#This Row],[qtyEd2025]]*BHP[[#This Row],[hargaSatuan]]</f>
        <v>0</v>
      </c>
      <c r="P752" s="50">
        <f>BHP[[#This Row],[qtySaldoAwalSem1]]+BHP[[#This Row],[qtyTerima2025]]-(BHP[[#This Row],[qtyDist2025]]+BHP[[#This Row],[qtyEd2025]])</f>
        <v>324</v>
      </c>
      <c r="Q752" s="52">
        <f>BHP[[#This Row],[qtySaldoAkhir2025]]*BHP[[#This Row],[hargaSatuan]]</f>
        <v>26704080</v>
      </c>
      <c r="S752" s="32">
        <f t="shared" si="22"/>
        <v>26704080</v>
      </c>
      <c r="T752" s="32">
        <f t="shared" si="23"/>
        <v>0</v>
      </c>
    </row>
    <row r="753" spans="1:20" ht="14.4" x14ac:dyDescent="0.3">
      <c r="A753" s="44">
        <v>157</v>
      </c>
      <c r="B753" s="45" t="s">
        <v>895</v>
      </c>
      <c r="C753" s="46" t="s">
        <v>838</v>
      </c>
      <c r="D753" s="47">
        <v>20102388</v>
      </c>
      <c r="E753" s="87">
        <v>46997</v>
      </c>
      <c r="F753" s="49">
        <v>25448</v>
      </c>
      <c r="G753" s="45" t="s">
        <v>17</v>
      </c>
      <c r="H753" s="50">
        <v>317</v>
      </c>
      <c r="I753" s="49">
        <f>BHP[[#This Row],[qtySaldoAwalSem1]]*BHP[[#This Row],[hargaSatuan]]</f>
        <v>8067016</v>
      </c>
      <c r="J753" s="50">
        <v>0</v>
      </c>
      <c r="K753" s="51">
        <f>BHP[[#This Row],[qtyTerima2025]]*BHP[[#This Row],[hargaSatuan]]</f>
        <v>0</v>
      </c>
      <c r="L753" s="50">
        <v>317</v>
      </c>
      <c r="M753" s="51">
        <f>BHP[[#This Row],[qtyDist2025]]*BHP[[#This Row],[hargaSatuan]]</f>
        <v>8067016</v>
      </c>
      <c r="N753" s="50">
        <v>0</v>
      </c>
      <c r="O753" s="51">
        <f>BHP[[#This Row],[qtyEd2025]]*BHP[[#This Row],[hargaSatuan]]</f>
        <v>0</v>
      </c>
      <c r="P753" s="50">
        <f>BHP[[#This Row],[qtySaldoAwalSem1]]+BHP[[#This Row],[qtyTerima2025]]-(BHP[[#This Row],[qtyDist2025]]+BHP[[#This Row],[qtyEd2025]])</f>
        <v>0</v>
      </c>
      <c r="Q753" s="52">
        <f>BHP[[#This Row],[qtySaldoAkhir2025]]*BHP[[#This Row],[hargaSatuan]]</f>
        <v>0</v>
      </c>
      <c r="S753" s="32">
        <f t="shared" si="22"/>
        <v>0</v>
      </c>
      <c r="T753" s="32">
        <f t="shared" si="23"/>
        <v>0</v>
      </c>
    </row>
    <row r="754" spans="1:20" ht="14.4" x14ac:dyDescent="0.3">
      <c r="A754" s="44">
        <v>158</v>
      </c>
      <c r="B754" s="45" t="s">
        <v>896</v>
      </c>
      <c r="C754" s="46" t="s">
        <v>752</v>
      </c>
      <c r="D754" s="47">
        <v>0</v>
      </c>
      <c r="E754" s="48"/>
      <c r="F754" s="49">
        <v>27500</v>
      </c>
      <c r="G754" s="95" t="s">
        <v>17</v>
      </c>
      <c r="H754" s="50">
        <v>24</v>
      </c>
      <c r="I754" s="49">
        <f>BHP[[#This Row],[qtySaldoAwalSem1]]*BHP[[#This Row],[hargaSatuan]]</f>
        <v>660000</v>
      </c>
      <c r="J754" s="50">
        <v>0</v>
      </c>
      <c r="K754" s="51">
        <f>BHP[[#This Row],[qtyTerima2025]]*BHP[[#This Row],[hargaSatuan]]</f>
        <v>0</v>
      </c>
      <c r="L754" s="50">
        <v>24</v>
      </c>
      <c r="M754" s="51">
        <f>BHP[[#This Row],[qtyDist2025]]*BHP[[#This Row],[hargaSatuan]]</f>
        <v>660000</v>
      </c>
      <c r="N754" s="50">
        <v>0</v>
      </c>
      <c r="O754" s="51">
        <f>BHP[[#This Row],[qtyEd2025]]*BHP[[#This Row],[hargaSatuan]]</f>
        <v>0</v>
      </c>
      <c r="P754" s="50">
        <f>BHP[[#This Row],[qtySaldoAwalSem1]]+BHP[[#This Row],[qtyTerima2025]]-(BHP[[#This Row],[qtyDist2025]]+BHP[[#This Row],[qtyEd2025]])</f>
        <v>0</v>
      </c>
      <c r="Q754" s="52">
        <f>BHP[[#This Row],[qtySaldoAkhir2025]]*BHP[[#This Row],[hargaSatuan]]</f>
        <v>0</v>
      </c>
      <c r="S754" s="32">
        <f t="shared" si="22"/>
        <v>0</v>
      </c>
      <c r="T754" s="32">
        <f t="shared" si="23"/>
        <v>0</v>
      </c>
    </row>
    <row r="755" spans="1:20" ht="14.4" x14ac:dyDescent="0.3">
      <c r="A755" s="44">
        <v>159</v>
      </c>
      <c r="B755" s="45" t="s">
        <v>897</v>
      </c>
      <c r="C755" s="46" t="s">
        <v>752</v>
      </c>
      <c r="D755" s="47">
        <v>0</v>
      </c>
      <c r="E755" s="48"/>
      <c r="F755" s="49">
        <v>16360</v>
      </c>
      <c r="G755" s="45" t="s">
        <v>40</v>
      </c>
      <c r="H755" s="50">
        <v>116</v>
      </c>
      <c r="I755" s="49">
        <f>BHP[[#This Row],[qtySaldoAwalSem1]]*BHP[[#This Row],[hargaSatuan]]</f>
        <v>1897760</v>
      </c>
      <c r="J755" s="50">
        <v>0</v>
      </c>
      <c r="K755" s="51">
        <f>BHP[[#This Row],[qtyTerima2025]]*BHP[[#This Row],[hargaSatuan]]</f>
        <v>0</v>
      </c>
      <c r="L755" s="50">
        <v>116</v>
      </c>
      <c r="M755" s="51">
        <f>BHP[[#This Row],[qtyDist2025]]*BHP[[#This Row],[hargaSatuan]]</f>
        <v>1897760</v>
      </c>
      <c r="N755" s="50">
        <v>0</v>
      </c>
      <c r="O755" s="51">
        <f>BHP[[#This Row],[qtyEd2025]]*BHP[[#This Row],[hargaSatuan]]</f>
        <v>0</v>
      </c>
      <c r="P755" s="50">
        <f>BHP[[#This Row],[qtySaldoAwalSem1]]+BHP[[#This Row],[qtyTerima2025]]-(BHP[[#This Row],[qtyDist2025]]+BHP[[#This Row],[qtyEd2025]])</f>
        <v>0</v>
      </c>
      <c r="Q755" s="52">
        <f>BHP[[#This Row],[qtySaldoAkhir2025]]*BHP[[#This Row],[hargaSatuan]]</f>
        <v>0</v>
      </c>
      <c r="S755" s="32">
        <f t="shared" si="22"/>
        <v>0</v>
      </c>
      <c r="T755" s="32">
        <f t="shared" si="23"/>
        <v>0</v>
      </c>
    </row>
    <row r="756" spans="1:20" ht="14.4" x14ac:dyDescent="0.3">
      <c r="A756" s="44">
        <v>160</v>
      </c>
      <c r="B756" s="45" t="s">
        <v>897</v>
      </c>
      <c r="C756" s="46" t="s">
        <v>752</v>
      </c>
      <c r="D756" s="47">
        <v>0</v>
      </c>
      <c r="E756" s="48"/>
      <c r="F756" s="49">
        <v>1650</v>
      </c>
      <c r="G756" s="45" t="s">
        <v>40</v>
      </c>
      <c r="H756" s="50">
        <v>0</v>
      </c>
      <c r="I756" s="49">
        <f>BHP[[#This Row],[qtySaldoAwalSem1]]*BHP[[#This Row],[hargaSatuan]]</f>
        <v>0</v>
      </c>
      <c r="J756" s="50">
        <v>300</v>
      </c>
      <c r="K756" s="51">
        <f>BHP[[#This Row],[qtyTerima2025]]*BHP[[#This Row],[hargaSatuan]]</f>
        <v>495000</v>
      </c>
      <c r="L756" s="50">
        <v>300</v>
      </c>
      <c r="M756" s="51">
        <f>BHP[[#This Row],[qtyDist2025]]*BHP[[#This Row],[hargaSatuan]]</f>
        <v>495000</v>
      </c>
      <c r="N756" s="50">
        <v>0</v>
      </c>
      <c r="O756" s="51">
        <v>0</v>
      </c>
      <c r="P756" s="50">
        <f>BHP[[#This Row],[qtySaldoAwalSem1]]+BHP[[#This Row],[qtyTerima2025]]-(BHP[[#This Row],[qtyDist2025]]+BHP[[#This Row],[qtyEd2025]])</f>
        <v>0</v>
      </c>
      <c r="Q756" s="52">
        <f>BHP[[#This Row],[qtySaldoAkhir2025]]*BHP[[#This Row],[hargaSatuan]]</f>
        <v>0</v>
      </c>
      <c r="S756" s="32">
        <f t="shared" si="22"/>
        <v>0</v>
      </c>
      <c r="T756" s="32">
        <f t="shared" si="23"/>
        <v>0</v>
      </c>
    </row>
    <row r="757" spans="1:20" ht="14.4" x14ac:dyDescent="0.3">
      <c r="A757" s="44">
        <v>161</v>
      </c>
      <c r="B757" s="45" t="s">
        <v>897</v>
      </c>
      <c r="C757" s="46" t="s">
        <v>752</v>
      </c>
      <c r="D757" s="47">
        <v>0</v>
      </c>
      <c r="E757" s="48"/>
      <c r="F757" s="49">
        <v>16000</v>
      </c>
      <c r="G757" s="88" t="s">
        <v>50</v>
      </c>
      <c r="H757" s="50">
        <v>125</v>
      </c>
      <c r="I757" s="49">
        <f>BHP[[#This Row],[qtySaldoAwalSem1]]*BHP[[#This Row],[hargaSatuan]]</f>
        <v>2000000</v>
      </c>
      <c r="J757" s="50">
        <v>0</v>
      </c>
      <c r="K757" s="51">
        <f>BHP[[#This Row],[qtyTerima2025]]*BHP[[#This Row],[hargaSatuan]]</f>
        <v>0</v>
      </c>
      <c r="L757" s="50">
        <v>125</v>
      </c>
      <c r="M757" s="51">
        <f>BHP[[#This Row],[qtyDist2025]]*BHP[[#This Row],[hargaSatuan]]</f>
        <v>2000000</v>
      </c>
      <c r="N757" s="50">
        <v>0</v>
      </c>
      <c r="O757" s="51">
        <f>BHP[[#This Row],[qtyEd2025]]*BHP[[#This Row],[hargaSatuan]]</f>
        <v>0</v>
      </c>
      <c r="P757" s="50">
        <f>BHP[[#This Row],[qtySaldoAwalSem1]]+BHP[[#This Row],[qtyTerima2025]]-(BHP[[#This Row],[qtyDist2025]]+BHP[[#This Row],[qtyEd2025]])</f>
        <v>0</v>
      </c>
      <c r="Q757" s="52">
        <f>BHP[[#This Row],[qtySaldoAkhir2025]]*BHP[[#This Row],[hargaSatuan]]</f>
        <v>0</v>
      </c>
      <c r="S757" s="32">
        <f t="shared" si="22"/>
        <v>0</v>
      </c>
      <c r="T757" s="32">
        <f t="shared" si="23"/>
        <v>0</v>
      </c>
    </row>
    <row r="758" spans="1:20" ht="14.4" x14ac:dyDescent="0.3">
      <c r="A758" s="44">
        <v>162</v>
      </c>
      <c r="B758" s="45" t="s">
        <v>898</v>
      </c>
      <c r="C758" s="46" t="s">
        <v>752</v>
      </c>
      <c r="D758" s="47">
        <v>0</v>
      </c>
      <c r="E758" s="48"/>
      <c r="F758" s="49">
        <v>16000</v>
      </c>
      <c r="G758" s="45" t="s">
        <v>40</v>
      </c>
      <c r="H758" s="50">
        <v>0</v>
      </c>
      <c r="I758" s="49">
        <f>BHP[[#This Row],[qtySaldoAwalSem1]]*BHP[[#This Row],[hargaSatuan]]</f>
        <v>0</v>
      </c>
      <c r="J758" s="50">
        <v>200</v>
      </c>
      <c r="K758" s="51">
        <f>BHP[[#This Row],[qtyTerima2025]]*BHP[[#This Row],[hargaSatuan]]</f>
        <v>3200000</v>
      </c>
      <c r="L758" s="50">
        <v>200</v>
      </c>
      <c r="M758" s="51">
        <f>BHP[[#This Row],[qtyDist2025]]*BHP[[#This Row],[hargaSatuan]]</f>
        <v>3200000</v>
      </c>
      <c r="N758" s="50">
        <v>0</v>
      </c>
      <c r="O758" s="51">
        <v>0</v>
      </c>
      <c r="P758" s="50">
        <f>BHP[[#This Row],[qtySaldoAwalSem1]]+BHP[[#This Row],[qtyTerima2025]]-(BHP[[#This Row],[qtyDist2025]]+BHP[[#This Row],[qtyEd2025]])</f>
        <v>0</v>
      </c>
      <c r="Q758" s="52">
        <f>BHP[[#This Row],[qtySaldoAkhir2025]]*BHP[[#This Row],[hargaSatuan]]</f>
        <v>0</v>
      </c>
      <c r="S758" s="32">
        <f t="shared" si="22"/>
        <v>0</v>
      </c>
      <c r="T758" s="32">
        <f t="shared" si="23"/>
        <v>0</v>
      </c>
    </row>
    <row r="759" spans="1:20" ht="14.4" x14ac:dyDescent="0.3">
      <c r="A759" s="44">
        <v>163</v>
      </c>
      <c r="B759" s="45" t="s">
        <v>898</v>
      </c>
      <c r="C759" s="46" t="s">
        <v>752</v>
      </c>
      <c r="D759" s="47">
        <v>0</v>
      </c>
      <c r="E759" s="48"/>
      <c r="F759" s="49">
        <v>1650</v>
      </c>
      <c r="G759" s="45" t="s">
        <v>40</v>
      </c>
      <c r="H759" s="50">
        <v>0</v>
      </c>
      <c r="I759" s="49">
        <f>BHP[[#This Row],[qtySaldoAwalSem1]]*BHP[[#This Row],[hargaSatuan]]</f>
        <v>0</v>
      </c>
      <c r="J759" s="50">
        <v>0</v>
      </c>
      <c r="K759" s="51">
        <f>BHP[[#This Row],[qtyTerima2025]]*BHP[[#This Row],[hargaSatuan]]</f>
        <v>0</v>
      </c>
      <c r="L759" s="50">
        <v>0</v>
      </c>
      <c r="M759" s="51">
        <f>BHP[[#This Row],[qtyDist2025]]*BHP[[#This Row],[hargaSatuan]]</f>
        <v>0</v>
      </c>
      <c r="N759" s="50">
        <v>0</v>
      </c>
      <c r="O759" s="51">
        <v>0</v>
      </c>
      <c r="P759" s="50">
        <f>BHP[[#This Row],[qtySaldoAwalSem1]]+BHP[[#This Row],[qtyTerima2025]]-(BHP[[#This Row],[qtyDist2025]]+BHP[[#This Row],[qtyEd2025]])</f>
        <v>0</v>
      </c>
      <c r="Q759" s="52">
        <f>BHP[[#This Row],[qtySaldoAkhir2025]]*BHP[[#This Row],[hargaSatuan]]</f>
        <v>0</v>
      </c>
      <c r="S759" s="32">
        <f t="shared" si="22"/>
        <v>0</v>
      </c>
      <c r="T759" s="32">
        <f t="shared" si="23"/>
        <v>0</v>
      </c>
    </row>
    <row r="760" spans="1:20" ht="14.4" x14ac:dyDescent="0.3">
      <c r="A760" s="44">
        <v>164</v>
      </c>
      <c r="B760" s="45" t="s">
        <v>899</v>
      </c>
      <c r="C760" s="46" t="s">
        <v>752</v>
      </c>
      <c r="D760" s="47" t="s">
        <v>886</v>
      </c>
      <c r="E760" s="48" t="s">
        <v>886</v>
      </c>
      <c r="F760" s="49">
        <v>16000</v>
      </c>
      <c r="G760" s="45" t="s">
        <v>40</v>
      </c>
      <c r="H760" s="50">
        <v>0</v>
      </c>
      <c r="I760" s="49">
        <f>BHP[[#This Row],[qtySaldoAwalSem1]]*BHP[[#This Row],[hargaSatuan]]</f>
        <v>0</v>
      </c>
      <c r="J760" s="50">
        <v>500</v>
      </c>
      <c r="K760" s="51">
        <f>BHP[[#This Row],[qtyTerima2025]]*BHP[[#This Row],[hargaSatuan]]</f>
        <v>8000000</v>
      </c>
      <c r="L760" s="50">
        <v>300</v>
      </c>
      <c r="M760" s="51">
        <f>BHP[[#This Row],[qtyDist2025]]*BHP[[#This Row],[hargaSatuan]]</f>
        <v>4800000</v>
      </c>
      <c r="N760" s="50">
        <v>0</v>
      </c>
      <c r="O760" s="51">
        <v>0</v>
      </c>
      <c r="P760" s="50">
        <f>BHP[[#This Row],[qtySaldoAwalSem1]]+BHP[[#This Row],[qtyTerima2025]]-(BHP[[#This Row],[qtyDist2025]]+BHP[[#This Row],[qtyEd2025]])</f>
        <v>200</v>
      </c>
      <c r="Q760" s="52">
        <f>BHP[[#This Row],[qtySaldoAkhir2025]]*BHP[[#This Row],[hargaSatuan]]</f>
        <v>3200000</v>
      </c>
      <c r="S760" s="32">
        <f t="shared" si="22"/>
        <v>3200000</v>
      </c>
      <c r="T760" s="32">
        <f t="shared" si="23"/>
        <v>0</v>
      </c>
    </row>
    <row r="761" spans="1:20" ht="14.4" x14ac:dyDescent="0.3">
      <c r="A761" s="44">
        <v>165</v>
      </c>
      <c r="B761" s="45" t="s">
        <v>900</v>
      </c>
      <c r="C761" s="46" t="s">
        <v>752</v>
      </c>
      <c r="D761" s="47">
        <v>0</v>
      </c>
      <c r="E761" s="48"/>
      <c r="F761" s="49">
        <v>24970</v>
      </c>
      <c r="G761" s="45" t="s">
        <v>40</v>
      </c>
      <c r="H761" s="50">
        <v>50</v>
      </c>
      <c r="I761" s="49">
        <f>BHP[[#This Row],[qtySaldoAwalSem1]]*BHP[[#This Row],[hargaSatuan]]</f>
        <v>1248500</v>
      </c>
      <c r="J761" s="50">
        <v>0</v>
      </c>
      <c r="K761" s="51">
        <f>BHP[[#This Row],[qtyTerima2025]]*BHP[[#This Row],[hargaSatuan]]</f>
        <v>0</v>
      </c>
      <c r="L761" s="50">
        <v>50</v>
      </c>
      <c r="M761" s="51">
        <f>BHP[[#This Row],[qtyDist2025]]*BHP[[#This Row],[hargaSatuan]]</f>
        <v>1248500</v>
      </c>
      <c r="N761" s="50">
        <v>0</v>
      </c>
      <c r="O761" s="51">
        <f>BHP[[#This Row],[qtyEd2025]]*BHP[[#This Row],[hargaSatuan]]</f>
        <v>0</v>
      </c>
      <c r="P761" s="50">
        <f>BHP[[#This Row],[qtySaldoAwalSem1]]+BHP[[#This Row],[qtyTerima2025]]-(BHP[[#This Row],[qtyDist2025]]+BHP[[#This Row],[qtyEd2025]])</f>
        <v>0</v>
      </c>
      <c r="Q761" s="52">
        <f>BHP[[#This Row],[qtySaldoAkhir2025]]*BHP[[#This Row],[hargaSatuan]]</f>
        <v>0</v>
      </c>
      <c r="S761" s="32">
        <f t="shared" si="22"/>
        <v>0</v>
      </c>
      <c r="T761" s="32">
        <f t="shared" si="23"/>
        <v>0</v>
      </c>
    </row>
    <row r="762" spans="1:20" ht="14.4" x14ac:dyDescent="0.3">
      <c r="A762" s="44">
        <v>166</v>
      </c>
      <c r="B762" s="45" t="s">
        <v>901</v>
      </c>
      <c r="C762" s="46" t="s">
        <v>752</v>
      </c>
      <c r="D762" s="47">
        <v>0</v>
      </c>
      <c r="E762" s="48"/>
      <c r="F762" s="49">
        <v>5794</v>
      </c>
      <c r="G762" s="45" t="s">
        <v>40</v>
      </c>
      <c r="H762" s="50">
        <v>0</v>
      </c>
      <c r="I762" s="49">
        <f>BHP[[#This Row],[qtySaldoAwalSem1]]*BHP[[#This Row],[hargaSatuan]]</f>
        <v>0</v>
      </c>
      <c r="J762" s="50">
        <v>10000</v>
      </c>
      <c r="K762" s="51">
        <f>BHP[[#This Row],[qtyTerima2025]]*BHP[[#This Row],[hargaSatuan]]</f>
        <v>57940000</v>
      </c>
      <c r="L762" s="50">
        <v>6375</v>
      </c>
      <c r="M762" s="51">
        <f>BHP[[#This Row],[qtyDist2025]]*BHP[[#This Row],[hargaSatuan]]</f>
        <v>36936750</v>
      </c>
      <c r="N762" s="50">
        <v>0</v>
      </c>
      <c r="O762" s="51">
        <v>0</v>
      </c>
      <c r="P762" s="50">
        <f>BHP[[#This Row],[qtySaldoAwalSem1]]+BHP[[#This Row],[qtyTerima2025]]-(BHP[[#This Row],[qtyDist2025]]+BHP[[#This Row],[qtyEd2025]])</f>
        <v>3625</v>
      </c>
      <c r="Q762" s="52">
        <f>BHP[[#This Row],[qtySaldoAkhir2025]]*BHP[[#This Row],[hargaSatuan]]</f>
        <v>21003250</v>
      </c>
      <c r="S762" s="32">
        <f t="shared" si="22"/>
        <v>21003250</v>
      </c>
      <c r="T762" s="32">
        <f t="shared" si="23"/>
        <v>0</v>
      </c>
    </row>
    <row r="763" spans="1:20" ht="14.4" x14ac:dyDescent="0.3">
      <c r="A763" s="44">
        <v>167</v>
      </c>
      <c r="B763" s="45" t="s">
        <v>902</v>
      </c>
      <c r="C763" s="46" t="s">
        <v>752</v>
      </c>
      <c r="D763" s="47">
        <v>0</v>
      </c>
      <c r="E763" s="48"/>
      <c r="F763" s="49">
        <v>16000</v>
      </c>
      <c r="G763" s="45" t="s">
        <v>40</v>
      </c>
      <c r="H763" s="50">
        <v>0</v>
      </c>
      <c r="I763" s="49">
        <f>BHP[[#This Row],[qtySaldoAwalSem1]]*BHP[[#This Row],[hargaSatuan]]</f>
        <v>0</v>
      </c>
      <c r="J763" s="50">
        <v>75</v>
      </c>
      <c r="K763" s="51">
        <f>BHP[[#This Row],[qtyTerima2025]]*BHP[[#This Row],[hargaSatuan]]</f>
        <v>1200000</v>
      </c>
      <c r="L763" s="50">
        <v>75</v>
      </c>
      <c r="M763" s="51">
        <f>BHP[[#This Row],[qtyDist2025]]*BHP[[#This Row],[hargaSatuan]]</f>
        <v>1200000</v>
      </c>
      <c r="N763" s="50">
        <v>0</v>
      </c>
      <c r="O763" s="51">
        <v>0</v>
      </c>
      <c r="P763" s="50">
        <f>BHP[[#This Row],[qtySaldoAwalSem1]]+BHP[[#This Row],[qtyTerima2025]]-(BHP[[#This Row],[qtyDist2025]]+BHP[[#This Row],[qtyEd2025]])</f>
        <v>0</v>
      </c>
      <c r="Q763" s="52">
        <f>BHP[[#This Row],[qtySaldoAkhir2025]]*BHP[[#This Row],[hargaSatuan]]</f>
        <v>0</v>
      </c>
      <c r="S763" s="32">
        <f t="shared" si="22"/>
        <v>0</v>
      </c>
      <c r="T763" s="32">
        <f t="shared" si="23"/>
        <v>0</v>
      </c>
    </row>
    <row r="764" spans="1:20" ht="14.4" x14ac:dyDescent="0.3">
      <c r="A764" s="44">
        <v>168</v>
      </c>
      <c r="B764" s="45" t="s">
        <v>903</v>
      </c>
      <c r="C764" s="46" t="s">
        <v>752</v>
      </c>
      <c r="D764" s="47" t="s">
        <v>886</v>
      </c>
      <c r="E764" s="48" t="s">
        <v>886</v>
      </c>
      <c r="F764" s="49">
        <v>11782</v>
      </c>
      <c r="G764" s="45" t="s">
        <v>40</v>
      </c>
      <c r="H764" s="50">
        <v>0</v>
      </c>
      <c r="I764" s="49">
        <f>BHP[[#This Row],[qtySaldoAwalSem1]]*BHP[[#This Row],[hargaSatuan]]</f>
        <v>0</v>
      </c>
      <c r="J764" s="50">
        <v>48</v>
      </c>
      <c r="K764" s="51">
        <f>BHP[[#This Row],[qtyTerima2025]]*BHP[[#This Row],[hargaSatuan]]</f>
        <v>565536</v>
      </c>
      <c r="L764" s="50">
        <v>48</v>
      </c>
      <c r="M764" s="51">
        <f>BHP[[#This Row],[qtyDist2025]]*BHP[[#This Row],[hargaSatuan]]</f>
        <v>565536</v>
      </c>
      <c r="N764" s="50">
        <v>0</v>
      </c>
      <c r="O764" s="51">
        <v>0</v>
      </c>
      <c r="P764" s="50">
        <f>BHP[[#This Row],[qtySaldoAwalSem1]]+BHP[[#This Row],[qtyTerima2025]]-(BHP[[#This Row],[qtyDist2025]]+BHP[[#This Row],[qtyEd2025]])</f>
        <v>0</v>
      </c>
      <c r="Q764" s="52">
        <f>BHP[[#This Row],[qtySaldoAkhir2025]]*BHP[[#This Row],[hargaSatuan]]</f>
        <v>0</v>
      </c>
      <c r="S764" s="32">
        <f t="shared" si="22"/>
        <v>0</v>
      </c>
      <c r="T764" s="32">
        <f t="shared" si="23"/>
        <v>0</v>
      </c>
    </row>
    <row r="765" spans="1:20" ht="14.4" x14ac:dyDescent="0.3">
      <c r="A765" s="44">
        <v>169</v>
      </c>
      <c r="B765" s="45" t="s">
        <v>904</v>
      </c>
      <c r="C765" s="46" t="s">
        <v>905</v>
      </c>
      <c r="D765" s="47" t="s">
        <v>906</v>
      </c>
      <c r="E765" s="87">
        <v>46657</v>
      </c>
      <c r="F765" s="49">
        <v>1524</v>
      </c>
      <c r="G765" s="45" t="s">
        <v>40</v>
      </c>
      <c r="H765" s="50">
        <v>0</v>
      </c>
      <c r="I765" s="49">
        <f>BHP[[#This Row],[qtySaldoAwalSem1]]*BHP[[#This Row],[hargaSatuan]]</f>
        <v>0</v>
      </c>
      <c r="J765" s="50">
        <v>2000</v>
      </c>
      <c r="K765" s="51">
        <f>BHP[[#This Row],[qtyTerima2025]]*BHP[[#This Row],[hargaSatuan]]</f>
        <v>3048000</v>
      </c>
      <c r="L765" s="50">
        <v>2000</v>
      </c>
      <c r="M765" s="51">
        <f>BHP[[#This Row],[qtyDist2025]]*BHP[[#This Row],[hargaSatuan]]</f>
        <v>3048000</v>
      </c>
      <c r="N765" s="50">
        <v>0</v>
      </c>
      <c r="O765" s="51">
        <v>0</v>
      </c>
      <c r="P765" s="50">
        <f>BHP[[#This Row],[qtySaldoAwalSem1]]+BHP[[#This Row],[qtyTerima2025]]-(BHP[[#This Row],[qtyDist2025]]+BHP[[#This Row],[qtyEd2025]])</f>
        <v>0</v>
      </c>
      <c r="Q765" s="52">
        <f>BHP[[#This Row],[qtySaldoAkhir2025]]*BHP[[#This Row],[hargaSatuan]]</f>
        <v>0</v>
      </c>
      <c r="S765" s="32">
        <f t="shared" si="22"/>
        <v>0</v>
      </c>
      <c r="T765" s="32">
        <f t="shared" si="23"/>
        <v>0</v>
      </c>
    </row>
    <row r="766" spans="1:20" ht="14.4" x14ac:dyDescent="0.3">
      <c r="A766" s="44">
        <v>170</v>
      </c>
      <c r="B766" s="45" t="s">
        <v>907</v>
      </c>
      <c r="C766" s="46" t="s">
        <v>905</v>
      </c>
      <c r="D766" s="47" t="s">
        <v>908</v>
      </c>
      <c r="E766" s="48">
        <v>46873</v>
      </c>
      <c r="F766" s="49">
        <v>1560</v>
      </c>
      <c r="G766" s="45" t="s">
        <v>41</v>
      </c>
      <c r="H766" s="50">
        <v>0</v>
      </c>
      <c r="I766" s="49">
        <f>BHP[[#This Row],[qtySaldoAwalSem1]]*BHP[[#This Row],[hargaSatuan]]</f>
        <v>0</v>
      </c>
      <c r="J766" s="50">
        <v>2500</v>
      </c>
      <c r="K766" s="51">
        <f>BHP[[#This Row],[qtyTerima2025]]*BHP[[#This Row],[hargaSatuan]]</f>
        <v>3900000</v>
      </c>
      <c r="L766" s="50">
        <v>0</v>
      </c>
      <c r="M766" s="51">
        <f>BHP[[#This Row],[qtyDist2025]]*BHP[[#This Row],[hargaSatuan]]</f>
        <v>0</v>
      </c>
      <c r="N766" s="50">
        <v>0</v>
      </c>
      <c r="O766" s="51">
        <v>0</v>
      </c>
      <c r="P766" s="50">
        <f>BHP[[#This Row],[qtySaldoAwalSem1]]+BHP[[#This Row],[qtyTerima2025]]-(BHP[[#This Row],[qtyDist2025]]+BHP[[#This Row],[qtyEd2025]])</f>
        <v>2500</v>
      </c>
      <c r="Q766" s="52">
        <f>BHP[[#This Row],[qtySaldoAkhir2025]]*BHP[[#This Row],[hargaSatuan]]</f>
        <v>3900000</v>
      </c>
      <c r="S766" s="32">
        <f t="shared" si="22"/>
        <v>3900000</v>
      </c>
      <c r="T766" s="32">
        <f t="shared" si="23"/>
        <v>0</v>
      </c>
    </row>
    <row r="767" spans="1:20" ht="14.4" x14ac:dyDescent="0.3">
      <c r="A767" s="44">
        <v>171</v>
      </c>
      <c r="B767" s="45" t="s">
        <v>904</v>
      </c>
      <c r="C767" s="46" t="s">
        <v>905</v>
      </c>
      <c r="D767" s="47">
        <v>23051040</v>
      </c>
      <c r="E767" s="87">
        <v>46628</v>
      </c>
      <c r="F767" s="49">
        <v>1524</v>
      </c>
      <c r="G767" s="45" t="s">
        <v>40</v>
      </c>
      <c r="H767" s="50">
        <v>0</v>
      </c>
      <c r="I767" s="49">
        <f>BHP[[#This Row],[qtySaldoAwalSem1]]*BHP[[#This Row],[hargaSatuan]]</f>
        <v>0</v>
      </c>
      <c r="J767" s="50">
        <v>12000</v>
      </c>
      <c r="K767" s="51">
        <f>BHP[[#This Row],[qtyTerima2025]]*BHP[[#This Row],[hargaSatuan]]</f>
        <v>18288000</v>
      </c>
      <c r="L767" s="50">
        <v>12000</v>
      </c>
      <c r="M767" s="51">
        <f>BHP[[#This Row],[qtyDist2025]]*BHP[[#This Row],[hargaSatuan]]</f>
        <v>18288000</v>
      </c>
      <c r="N767" s="50">
        <v>0</v>
      </c>
      <c r="O767" s="51">
        <v>0</v>
      </c>
      <c r="P767" s="50">
        <f>BHP[[#This Row],[qtySaldoAwalSem1]]+BHP[[#This Row],[qtyTerima2025]]-(BHP[[#This Row],[qtyDist2025]]+BHP[[#This Row],[qtyEd2025]])</f>
        <v>0</v>
      </c>
      <c r="Q767" s="52">
        <f>BHP[[#This Row],[qtySaldoAkhir2025]]*BHP[[#This Row],[hargaSatuan]]</f>
        <v>0</v>
      </c>
      <c r="S767" s="32">
        <f t="shared" si="22"/>
        <v>0</v>
      </c>
      <c r="T767" s="32">
        <f t="shared" si="23"/>
        <v>0</v>
      </c>
    </row>
    <row r="768" spans="1:20" ht="14.4" x14ac:dyDescent="0.3">
      <c r="A768" s="44">
        <v>172</v>
      </c>
      <c r="B768" s="45" t="s">
        <v>907</v>
      </c>
      <c r="C768" s="46" t="s">
        <v>905</v>
      </c>
      <c r="D768" s="47">
        <v>2210185047</v>
      </c>
      <c r="E768" s="87">
        <v>46631</v>
      </c>
      <c r="F768" s="49">
        <v>2041.5604255319149</v>
      </c>
      <c r="G768" s="45" t="s">
        <v>54</v>
      </c>
      <c r="H768" s="50">
        <v>49850</v>
      </c>
      <c r="I768" s="49">
        <f>BHP[[#This Row],[qtySaldoAwalSem1]]*BHP[[#This Row],[hargaSatuan]]</f>
        <v>101771787.21276596</v>
      </c>
      <c r="J768" s="50">
        <v>0</v>
      </c>
      <c r="K768" s="51">
        <f>BHP[[#This Row],[qtyTerima2025]]*BHP[[#This Row],[hargaSatuan]]</f>
        <v>0</v>
      </c>
      <c r="L768" s="50">
        <v>47150</v>
      </c>
      <c r="M768" s="51">
        <f>BHP[[#This Row],[qtyDist2025]]*BHP[[#This Row],[hargaSatuan]]</f>
        <v>96259574.063829795</v>
      </c>
      <c r="N768" s="50">
        <v>0</v>
      </c>
      <c r="O768" s="51">
        <f>BHP[[#This Row],[qtyEd2025]]*BHP[[#This Row],[hargaSatuan]]</f>
        <v>0</v>
      </c>
      <c r="P768" s="50">
        <f>BHP[[#This Row],[qtySaldoAwalSem1]]+BHP[[#This Row],[qtyTerima2025]]-(BHP[[#This Row],[qtyDist2025]]+BHP[[#This Row],[qtyEd2025]])</f>
        <v>2700</v>
      </c>
      <c r="Q768" s="52">
        <f>BHP[[#This Row],[qtySaldoAkhir2025]]*BHP[[#This Row],[hargaSatuan]]</f>
        <v>5512213.1489361702</v>
      </c>
      <c r="S768" s="32">
        <f t="shared" si="22"/>
        <v>5512213.1489361674</v>
      </c>
      <c r="T768" s="32">
        <f t="shared" si="23"/>
        <v>2.7939677238464355E-9</v>
      </c>
    </row>
    <row r="769" spans="1:59" ht="14.4" x14ac:dyDescent="0.3">
      <c r="A769" s="44">
        <v>173</v>
      </c>
      <c r="B769" s="45" t="s">
        <v>907</v>
      </c>
      <c r="C769" s="46" t="s">
        <v>905</v>
      </c>
      <c r="D769" s="47">
        <v>0</v>
      </c>
      <c r="E769" s="48"/>
      <c r="F769" s="49">
        <v>2700</v>
      </c>
      <c r="G769" s="45" t="s">
        <v>17</v>
      </c>
      <c r="H769" s="50">
        <v>8600</v>
      </c>
      <c r="I769" s="49">
        <f>BHP[[#This Row],[qtySaldoAwalSem1]]*BHP[[#This Row],[hargaSatuan]]</f>
        <v>23220000</v>
      </c>
      <c r="J769" s="50">
        <v>0</v>
      </c>
      <c r="K769" s="51">
        <f>BHP[[#This Row],[qtyTerima2025]]*BHP[[#This Row],[hargaSatuan]]</f>
        <v>0</v>
      </c>
      <c r="L769" s="50">
        <v>8600</v>
      </c>
      <c r="M769" s="51">
        <f>BHP[[#This Row],[qtyDist2025]]*BHP[[#This Row],[hargaSatuan]]</f>
        <v>23220000</v>
      </c>
      <c r="N769" s="50">
        <v>0</v>
      </c>
      <c r="O769" s="51">
        <f>BHP[[#This Row],[qtyEd2025]]*BHP[[#This Row],[hargaSatuan]]</f>
        <v>0</v>
      </c>
      <c r="P769" s="50">
        <f>BHP[[#This Row],[qtySaldoAwalSem1]]+BHP[[#This Row],[qtyTerima2025]]-(BHP[[#This Row],[qtyDist2025]]+BHP[[#This Row],[qtyEd2025]])</f>
        <v>0</v>
      </c>
      <c r="Q769" s="52">
        <f>BHP[[#This Row],[qtySaldoAkhir2025]]*BHP[[#This Row],[hargaSatuan]]</f>
        <v>0</v>
      </c>
      <c r="S769" s="32">
        <f t="shared" si="22"/>
        <v>0</v>
      </c>
      <c r="T769" s="32">
        <f t="shared" si="23"/>
        <v>0</v>
      </c>
    </row>
    <row r="770" spans="1:59" ht="14.4" x14ac:dyDescent="0.3">
      <c r="A770" s="44">
        <v>174</v>
      </c>
      <c r="B770" s="45" t="s">
        <v>909</v>
      </c>
      <c r="C770" s="46" t="s">
        <v>905</v>
      </c>
      <c r="D770" s="47" t="s">
        <v>910</v>
      </c>
      <c r="E770" s="87">
        <v>46753</v>
      </c>
      <c r="F770" s="49">
        <v>1648.6666666666667</v>
      </c>
      <c r="G770" s="45" t="s">
        <v>17</v>
      </c>
      <c r="H770" s="50">
        <v>9750</v>
      </c>
      <c r="I770" s="49">
        <f>BHP[[#This Row],[qtySaldoAwalSem1]]*BHP[[#This Row],[hargaSatuan]]</f>
        <v>16074500</v>
      </c>
      <c r="J770" s="50">
        <v>0</v>
      </c>
      <c r="K770" s="51">
        <f>BHP[[#This Row],[qtyTerima2025]]*BHP[[#This Row],[hargaSatuan]]</f>
        <v>0</v>
      </c>
      <c r="L770" s="50">
        <v>9750</v>
      </c>
      <c r="M770" s="51">
        <f>BHP[[#This Row],[qtyDist2025]]*BHP[[#This Row],[hargaSatuan]]</f>
        <v>16074500</v>
      </c>
      <c r="N770" s="50">
        <v>0</v>
      </c>
      <c r="O770" s="51">
        <f>BHP[[#This Row],[qtyEd2025]]*BHP[[#This Row],[hargaSatuan]]</f>
        <v>0</v>
      </c>
      <c r="P770" s="50">
        <f>BHP[[#This Row],[qtySaldoAwalSem1]]+BHP[[#This Row],[qtyTerima2025]]-(BHP[[#This Row],[qtyDist2025]]+BHP[[#This Row],[qtyEd2025]])</f>
        <v>0</v>
      </c>
      <c r="Q770" s="52">
        <f>BHP[[#This Row],[qtySaldoAkhir2025]]*BHP[[#This Row],[hargaSatuan]]</f>
        <v>0</v>
      </c>
      <c r="S770" s="32">
        <f t="shared" si="22"/>
        <v>0</v>
      </c>
      <c r="T770" s="32">
        <f t="shared" si="23"/>
        <v>0</v>
      </c>
    </row>
    <row r="771" spans="1:59" ht="14.4" x14ac:dyDescent="0.3">
      <c r="A771" s="44">
        <v>175</v>
      </c>
      <c r="B771" s="45" t="s">
        <v>909</v>
      </c>
      <c r="C771" s="46" t="s">
        <v>905</v>
      </c>
      <c r="D771" s="47">
        <v>24122410</v>
      </c>
      <c r="E771" s="87">
        <v>47423</v>
      </c>
      <c r="F771" s="49">
        <v>1560</v>
      </c>
      <c r="G771" s="45" t="s">
        <v>41</v>
      </c>
      <c r="H771" s="50">
        <v>0</v>
      </c>
      <c r="I771" s="49">
        <f>BHP[[#This Row],[qtySaldoAwalSem1]]*BHP[[#This Row],[hargaSatuan]]</f>
        <v>0</v>
      </c>
      <c r="J771" s="50">
        <v>18150</v>
      </c>
      <c r="K771" s="51">
        <f>BHP[[#This Row],[qtyTerima2025]]*BHP[[#This Row],[hargaSatuan]]</f>
        <v>28314000</v>
      </c>
      <c r="L771" s="50">
        <v>18150</v>
      </c>
      <c r="M771" s="51">
        <f>BHP[[#This Row],[qtyDist2025]]*BHP[[#This Row],[hargaSatuan]]</f>
        <v>28314000</v>
      </c>
      <c r="N771" s="50">
        <v>0</v>
      </c>
      <c r="O771" s="51">
        <v>0</v>
      </c>
      <c r="P771" s="50">
        <f>BHP[[#This Row],[qtySaldoAwalSem1]]+BHP[[#This Row],[qtyTerima2025]]-(BHP[[#This Row],[qtyDist2025]]+BHP[[#This Row],[qtyEd2025]])</f>
        <v>0</v>
      </c>
      <c r="Q771" s="52">
        <f>BHP[[#This Row],[qtySaldoAkhir2025]]*BHP[[#This Row],[hargaSatuan]]</f>
        <v>0</v>
      </c>
      <c r="S771" s="32">
        <f t="shared" si="22"/>
        <v>0</v>
      </c>
      <c r="T771" s="32">
        <f t="shared" si="23"/>
        <v>0</v>
      </c>
    </row>
    <row r="772" spans="1:59" ht="14.4" x14ac:dyDescent="0.3">
      <c r="A772" s="44">
        <v>176</v>
      </c>
      <c r="B772" s="45" t="s">
        <v>911</v>
      </c>
      <c r="C772" s="46" t="s">
        <v>905</v>
      </c>
      <c r="D772" s="47" t="s">
        <v>912</v>
      </c>
      <c r="E772" s="87">
        <v>46753</v>
      </c>
      <c r="F772" s="49">
        <v>1731.6</v>
      </c>
      <c r="G772" s="45" t="s">
        <v>17</v>
      </c>
      <c r="H772" s="50">
        <v>1250</v>
      </c>
      <c r="I772" s="49">
        <f>BHP[[#This Row],[qtySaldoAwalSem1]]*BHP[[#This Row],[hargaSatuan]]</f>
        <v>2164500</v>
      </c>
      <c r="J772" s="50">
        <v>0</v>
      </c>
      <c r="K772" s="51">
        <f>BHP[[#This Row],[qtyTerima2025]]*BHP[[#This Row],[hargaSatuan]]</f>
        <v>0</v>
      </c>
      <c r="L772" s="50">
        <v>1250</v>
      </c>
      <c r="M772" s="51">
        <f>BHP[[#This Row],[qtyDist2025]]*BHP[[#This Row],[hargaSatuan]]</f>
        <v>2164500</v>
      </c>
      <c r="N772" s="50">
        <v>0</v>
      </c>
      <c r="O772" s="51">
        <f>BHP[[#This Row],[qtyEd2025]]*BHP[[#This Row],[hargaSatuan]]</f>
        <v>0</v>
      </c>
      <c r="P772" s="50">
        <f>BHP[[#This Row],[qtySaldoAwalSem1]]+BHP[[#This Row],[qtyTerima2025]]-(BHP[[#This Row],[qtyDist2025]]+BHP[[#This Row],[qtyEd2025]])</f>
        <v>0</v>
      </c>
      <c r="Q772" s="52">
        <f>BHP[[#This Row],[qtySaldoAkhir2025]]*BHP[[#This Row],[hargaSatuan]]</f>
        <v>0</v>
      </c>
      <c r="S772" s="32">
        <f t="shared" si="22"/>
        <v>0</v>
      </c>
      <c r="T772" s="32">
        <f t="shared" si="23"/>
        <v>0</v>
      </c>
    </row>
    <row r="773" spans="1:59" ht="14.4" x14ac:dyDescent="0.3">
      <c r="A773" s="44">
        <v>177</v>
      </c>
      <c r="B773" s="45" t="s">
        <v>913</v>
      </c>
      <c r="C773" s="46" t="s">
        <v>905</v>
      </c>
      <c r="D773" s="47" t="s">
        <v>914</v>
      </c>
      <c r="E773" s="48">
        <v>46174</v>
      </c>
      <c r="F773" s="49">
        <v>48951</v>
      </c>
      <c r="G773" s="45" t="s">
        <v>54</v>
      </c>
      <c r="H773" s="50">
        <v>500</v>
      </c>
      <c r="I773" s="49">
        <f>BHP[[#This Row],[qtySaldoAwalSem1]]*BHP[[#This Row],[hargaSatuan]]</f>
        <v>24475500</v>
      </c>
      <c r="J773" s="50">
        <v>0</v>
      </c>
      <c r="K773" s="51">
        <f>BHP[[#This Row],[qtyTerima2025]]*BHP[[#This Row],[hargaSatuan]]</f>
        <v>0</v>
      </c>
      <c r="L773" s="50">
        <v>0</v>
      </c>
      <c r="M773" s="51">
        <f>BHP[[#This Row],[qtyDist2025]]*BHP[[#This Row],[hargaSatuan]]</f>
        <v>0</v>
      </c>
      <c r="N773" s="50">
        <v>0</v>
      </c>
      <c r="O773" s="51">
        <f>BHP[[#This Row],[qtyEd2025]]*BHP[[#This Row],[hargaSatuan]]</f>
        <v>0</v>
      </c>
      <c r="P773" s="50">
        <f>BHP[[#This Row],[qtySaldoAwalSem1]]+BHP[[#This Row],[qtyTerima2025]]-(BHP[[#This Row],[qtyDist2025]]+BHP[[#This Row],[qtyEd2025]])</f>
        <v>500</v>
      </c>
      <c r="Q773" s="52">
        <f>BHP[[#This Row],[qtySaldoAkhir2025]]*BHP[[#This Row],[hargaSatuan]]</f>
        <v>24475500</v>
      </c>
      <c r="S773" s="32">
        <f t="shared" si="22"/>
        <v>24475500</v>
      </c>
      <c r="T773" s="32">
        <f t="shared" si="23"/>
        <v>0</v>
      </c>
      <c r="W773" s="96"/>
    </row>
    <row r="774" spans="1:59" ht="14.4" x14ac:dyDescent="0.3">
      <c r="A774" s="44">
        <v>178</v>
      </c>
      <c r="B774" s="45" t="s">
        <v>915</v>
      </c>
      <c r="C774" s="46" t="s">
        <v>905</v>
      </c>
      <c r="D774" s="47" t="s">
        <v>916</v>
      </c>
      <c r="E774" s="48">
        <v>46174</v>
      </c>
      <c r="F774" s="49">
        <v>48951</v>
      </c>
      <c r="G774" s="45" t="s">
        <v>54</v>
      </c>
      <c r="H774" s="50">
        <v>485</v>
      </c>
      <c r="I774" s="49">
        <f>BHP[[#This Row],[qtySaldoAwalSem1]]*BHP[[#This Row],[hargaSatuan]]</f>
        <v>23741235</v>
      </c>
      <c r="J774" s="50">
        <v>0</v>
      </c>
      <c r="K774" s="51">
        <f>BHP[[#This Row],[qtyTerima2025]]*BHP[[#This Row],[hargaSatuan]]</f>
        <v>0</v>
      </c>
      <c r="L774" s="50">
        <v>0</v>
      </c>
      <c r="M774" s="51">
        <f>BHP[[#This Row],[qtyDist2025]]*BHP[[#This Row],[hargaSatuan]]</f>
        <v>0</v>
      </c>
      <c r="N774" s="50">
        <v>0</v>
      </c>
      <c r="O774" s="51">
        <f>BHP[[#This Row],[qtyEd2025]]*BHP[[#This Row],[hargaSatuan]]</f>
        <v>0</v>
      </c>
      <c r="P774" s="50">
        <f>BHP[[#This Row],[qtySaldoAwalSem1]]+BHP[[#This Row],[qtyTerima2025]]-(BHP[[#This Row],[qtyDist2025]]+BHP[[#This Row],[qtyEd2025]])</f>
        <v>485</v>
      </c>
      <c r="Q774" s="52">
        <f>BHP[[#This Row],[qtySaldoAkhir2025]]*BHP[[#This Row],[hargaSatuan]]</f>
        <v>23741235</v>
      </c>
      <c r="S774" s="32">
        <f t="shared" si="22"/>
        <v>23741235</v>
      </c>
      <c r="T774" s="32">
        <f t="shared" si="23"/>
        <v>0</v>
      </c>
      <c r="W774" s="96"/>
    </row>
    <row r="775" spans="1:59" ht="14.4" x14ac:dyDescent="0.3">
      <c r="A775" s="44">
        <v>179</v>
      </c>
      <c r="B775" s="45" t="s">
        <v>915</v>
      </c>
      <c r="C775" s="46" t="s">
        <v>905</v>
      </c>
      <c r="D775" s="47">
        <v>0</v>
      </c>
      <c r="E775" s="48">
        <v>46174</v>
      </c>
      <c r="F775" s="49">
        <v>66322.58</v>
      </c>
      <c r="G775" s="45" t="s">
        <v>54</v>
      </c>
      <c r="H775" s="50">
        <v>215</v>
      </c>
      <c r="I775" s="49">
        <f>BHP[[#This Row],[qtySaldoAwalSem1]]*BHP[[#This Row],[hargaSatuan]]</f>
        <v>14259354.700000001</v>
      </c>
      <c r="J775" s="50">
        <v>0</v>
      </c>
      <c r="K775" s="51">
        <f>BHP[[#This Row],[qtyTerima2025]]*BHP[[#This Row],[hargaSatuan]]</f>
        <v>0</v>
      </c>
      <c r="L775" s="50">
        <v>40</v>
      </c>
      <c r="M775" s="51">
        <f>BHP[[#This Row],[qtyDist2025]]*BHP[[#This Row],[hargaSatuan]]</f>
        <v>2652903.2000000002</v>
      </c>
      <c r="N775" s="50">
        <v>0</v>
      </c>
      <c r="O775" s="51">
        <f>BHP[[#This Row],[qtyEd2025]]*BHP[[#This Row],[hargaSatuan]]</f>
        <v>0</v>
      </c>
      <c r="P775" s="50">
        <f>BHP[[#This Row],[qtySaldoAwalSem1]]+BHP[[#This Row],[qtyTerima2025]]-(BHP[[#This Row],[qtyDist2025]]+BHP[[#This Row],[qtyEd2025]])</f>
        <v>175</v>
      </c>
      <c r="Q775" s="52">
        <f>BHP[[#This Row],[qtySaldoAkhir2025]]*BHP[[#This Row],[hargaSatuan]]</f>
        <v>11606451.5</v>
      </c>
      <c r="S775" s="32">
        <f t="shared" si="22"/>
        <v>11606451.5</v>
      </c>
      <c r="T775" s="32">
        <f t="shared" si="23"/>
        <v>0</v>
      </c>
      <c r="W775" s="96"/>
    </row>
    <row r="776" spans="1:59" ht="14.4" x14ac:dyDescent="0.3">
      <c r="A776" s="44">
        <v>180</v>
      </c>
      <c r="B776" s="45" t="s">
        <v>917</v>
      </c>
      <c r="C776" s="46" t="s">
        <v>905</v>
      </c>
      <c r="D776" s="47" t="s">
        <v>918</v>
      </c>
      <c r="E776" s="48">
        <v>46174</v>
      </c>
      <c r="F776" s="49">
        <v>48951</v>
      </c>
      <c r="G776" s="45" t="s">
        <v>54</v>
      </c>
      <c r="H776" s="50">
        <v>355</v>
      </c>
      <c r="I776" s="49">
        <f>BHP[[#This Row],[qtySaldoAwalSem1]]*BHP[[#This Row],[hargaSatuan]]</f>
        <v>17377605</v>
      </c>
      <c r="J776" s="50">
        <v>0</v>
      </c>
      <c r="K776" s="51">
        <f>BHP[[#This Row],[qtyTerima2025]]*BHP[[#This Row],[hargaSatuan]]</f>
        <v>0</v>
      </c>
      <c r="L776" s="50">
        <v>0</v>
      </c>
      <c r="M776" s="51">
        <f>BHP[[#This Row],[qtyDist2025]]*BHP[[#This Row],[hargaSatuan]]</f>
        <v>0</v>
      </c>
      <c r="N776" s="50">
        <v>0</v>
      </c>
      <c r="O776" s="51">
        <f>BHP[[#This Row],[qtyEd2025]]*BHP[[#This Row],[hargaSatuan]]</f>
        <v>0</v>
      </c>
      <c r="P776" s="50">
        <f>BHP[[#This Row],[qtySaldoAwalSem1]]+BHP[[#This Row],[qtyTerima2025]]-(BHP[[#This Row],[qtyDist2025]]+BHP[[#This Row],[qtyEd2025]])</f>
        <v>355</v>
      </c>
      <c r="Q776" s="52">
        <f>BHP[[#This Row],[qtySaldoAkhir2025]]*BHP[[#This Row],[hargaSatuan]]</f>
        <v>17377605</v>
      </c>
      <c r="S776" s="32">
        <f t="shared" si="22"/>
        <v>17377605</v>
      </c>
      <c r="T776" s="32">
        <f t="shared" si="23"/>
        <v>0</v>
      </c>
      <c r="W776" s="96"/>
    </row>
    <row r="777" spans="1:59" ht="14.4" x14ac:dyDescent="0.3">
      <c r="A777" s="44">
        <v>181</v>
      </c>
      <c r="B777" s="45" t="s">
        <v>919</v>
      </c>
      <c r="C777" s="46" t="s">
        <v>905</v>
      </c>
      <c r="D777" s="47">
        <v>57002936</v>
      </c>
      <c r="E777" s="48">
        <v>46266</v>
      </c>
      <c r="F777" s="49">
        <v>5084.3999999999996</v>
      </c>
      <c r="G777" s="45" t="s">
        <v>54</v>
      </c>
      <c r="H777" s="50">
        <v>40</v>
      </c>
      <c r="I777" s="49">
        <f>BHP[[#This Row],[qtySaldoAwalSem1]]*BHP[[#This Row],[hargaSatuan]]</f>
        <v>203376</v>
      </c>
      <c r="J777" s="50">
        <v>0</v>
      </c>
      <c r="K777" s="51">
        <f>BHP[[#This Row],[qtyTerima2025]]*BHP[[#This Row],[hargaSatuan]]</f>
        <v>0</v>
      </c>
      <c r="L777" s="50">
        <v>40</v>
      </c>
      <c r="M777" s="51">
        <f>BHP[[#This Row],[qtyDist2025]]*BHP[[#This Row],[hargaSatuan]]</f>
        <v>203376</v>
      </c>
      <c r="N777" s="50">
        <v>0</v>
      </c>
      <c r="O777" s="51">
        <f>BHP[[#This Row],[qtyEd2025]]*BHP[[#This Row],[hargaSatuan]]</f>
        <v>0</v>
      </c>
      <c r="P777" s="50">
        <f>BHP[[#This Row],[qtySaldoAwalSem1]]+BHP[[#This Row],[qtyTerima2025]]-(BHP[[#This Row],[qtyDist2025]]+BHP[[#This Row],[qtyEd2025]])</f>
        <v>0</v>
      </c>
      <c r="Q777" s="52">
        <f>BHP[[#This Row],[qtySaldoAkhir2025]]*BHP[[#This Row],[hargaSatuan]]</f>
        <v>0</v>
      </c>
      <c r="R777" s="53"/>
      <c r="S777" s="32">
        <f t="shared" ref="S777:S840" si="24">IFERROR(I777+K777-(M777+O777),0)</f>
        <v>0</v>
      </c>
      <c r="T777" s="32">
        <f t="shared" ref="T777:T840" si="25">IFERROR(Q777-S777,0)</f>
        <v>0</v>
      </c>
      <c r="U777" s="53"/>
      <c r="W777" s="53"/>
      <c r="X777" s="53"/>
      <c r="Y777" s="53"/>
      <c r="Z777" s="53"/>
      <c r="AA777" s="53"/>
      <c r="AB777" s="53"/>
      <c r="AC777" s="53"/>
      <c r="AD777" s="53"/>
      <c r="AE777" s="53"/>
      <c r="AF777" s="53"/>
      <c r="AG777" s="53"/>
      <c r="AH777" s="53"/>
      <c r="AI777" s="53"/>
      <c r="AJ777" s="53"/>
      <c r="AK777" s="53"/>
      <c r="AL777" s="53"/>
      <c r="AM777" s="53"/>
      <c r="AN777" s="53"/>
      <c r="AO777" s="53"/>
      <c r="AP777" s="53"/>
      <c r="AQ777" s="53"/>
      <c r="AR777" s="53"/>
      <c r="AS777" s="53"/>
      <c r="AT777" s="53"/>
      <c r="AU777" s="53"/>
      <c r="AV777" s="53"/>
      <c r="AW777" s="53"/>
      <c r="AX777" s="53"/>
      <c r="AY777" s="53"/>
      <c r="AZ777" s="53"/>
      <c r="BA777" s="53"/>
      <c r="BB777" s="53"/>
      <c r="BC777" s="53"/>
      <c r="BD777" s="53"/>
      <c r="BE777" s="53"/>
      <c r="BF777" s="53"/>
      <c r="BG777" s="53"/>
    </row>
    <row r="778" spans="1:59" ht="14.4" x14ac:dyDescent="0.3">
      <c r="A778" s="44">
        <v>182</v>
      </c>
      <c r="B778" s="45" t="s">
        <v>919</v>
      </c>
      <c r="C778" s="46" t="s">
        <v>905</v>
      </c>
      <c r="D778" s="47">
        <v>231210307</v>
      </c>
      <c r="E778" s="48">
        <v>46327</v>
      </c>
      <c r="F778" s="49">
        <v>5000</v>
      </c>
      <c r="G778" s="45" t="s">
        <v>48</v>
      </c>
      <c r="H778" s="50">
        <v>650</v>
      </c>
      <c r="I778" s="49">
        <f>BHP[[#This Row],[qtySaldoAwalSem1]]*BHP[[#This Row],[hargaSatuan]]</f>
        <v>3250000</v>
      </c>
      <c r="J778" s="50">
        <v>0</v>
      </c>
      <c r="K778" s="51">
        <f>BHP[[#This Row],[qtyTerima2025]]*BHP[[#This Row],[hargaSatuan]]</f>
        <v>0</v>
      </c>
      <c r="L778" s="50">
        <v>650</v>
      </c>
      <c r="M778" s="51">
        <f>BHP[[#This Row],[qtyDist2025]]*BHP[[#This Row],[hargaSatuan]]</f>
        <v>3250000</v>
      </c>
      <c r="N778" s="50">
        <v>0</v>
      </c>
      <c r="O778" s="51">
        <f>BHP[[#This Row],[qtyEd2025]]*BHP[[#This Row],[hargaSatuan]]</f>
        <v>0</v>
      </c>
      <c r="P778" s="50">
        <f>BHP[[#This Row],[qtySaldoAwalSem1]]+BHP[[#This Row],[qtyTerima2025]]-(BHP[[#This Row],[qtyDist2025]]+BHP[[#This Row],[qtyEd2025]])</f>
        <v>0</v>
      </c>
      <c r="Q778" s="52">
        <f>BHP[[#This Row],[qtySaldoAkhir2025]]*BHP[[#This Row],[hargaSatuan]]</f>
        <v>0</v>
      </c>
      <c r="R778" s="53"/>
      <c r="S778" s="32">
        <f t="shared" si="24"/>
        <v>0</v>
      </c>
      <c r="T778" s="32">
        <f t="shared" si="25"/>
        <v>0</v>
      </c>
      <c r="U778" s="53"/>
      <c r="W778" s="53"/>
      <c r="X778" s="53"/>
      <c r="Y778" s="53"/>
      <c r="Z778" s="53"/>
      <c r="AA778" s="53"/>
      <c r="AB778" s="53"/>
      <c r="AC778" s="53"/>
      <c r="AD778" s="53"/>
      <c r="AE778" s="53"/>
      <c r="AF778" s="53"/>
      <c r="AG778" s="53"/>
      <c r="AH778" s="53"/>
      <c r="AI778" s="53"/>
      <c r="AJ778" s="53"/>
      <c r="AK778" s="53"/>
      <c r="AL778" s="53"/>
      <c r="AM778" s="53"/>
      <c r="AN778" s="53"/>
      <c r="AO778" s="53"/>
      <c r="AP778" s="53"/>
      <c r="AQ778" s="53"/>
      <c r="AR778" s="53"/>
      <c r="AS778" s="53"/>
      <c r="AT778" s="53"/>
      <c r="AU778" s="53"/>
      <c r="AV778" s="53"/>
      <c r="AW778" s="53"/>
      <c r="AX778" s="53"/>
      <c r="AY778" s="53"/>
      <c r="AZ778" s="53"/>
      <c r="BA778" s="53"/>
      <c r="BB778" s="53"/>
      <c r="BC778" s="53"/>
      <c r="BD778" s="53"/>
      <c r="BE778" s="53"/>
      <c r="BF778" s="53"/>
      <c r="BG778" s="53"/>
    </row>
    <row r="779" spans="1:59" ht="14.4" x14ac:dyDescent="0.3">
      <c r="A779" s="44">
        <v>183</v>
      </c>
      <c r="B779" s="45" t="s">
        <v>920</v>
      </c>
      <c r="C779" s="46" t="s">
        <v>905</v>
      </c>
      <c r="D779" s="47">
        <v>0</v>
      </c>
      <c r="E779" s="48"/>
      <c r="F779" s="49">
        <v>5084.3999999999996</v>
      </c>
      <c r="G779" s="45" t="s">
        <v>54</v>
      </c>
      <c r="H779" s="50">
        <v>130</v>
      </c>
      <c r="I779" s="49">
        <f>BHP[[#This Row],[qtySaldoAwalSem1]]*BHP[[#This Row],[hargaSatuan]]</f>
        <v>660972</v>
      </c>
      <c r="J779" s="50">
        <v>0</v>
      </c>
      <c r="K779" s="51">
        <f>BHP[[#This Row],[qtyTerima2025]]*BHP[[#This Row],[hargaSatuan]]</f>
        <v>0</v>
      </c>
      <c r="L779" s="50">
        <v>0</v>
      </c>
      <c r="M779" s="51">
        <f>BHP[[#This Row],[qtyDist2025]]*BHP[[#This Row],[hargaSatuan]]</f>
        <v>0</v>
      </c>
      <c r="N779" s="50">
        <v>0</v>
      </c>
      <c r="O779" s="51">
        <f>BHP[[#This Row],[qtyEd2025]]*BHP[[#This Row],[hargaSatuan]]</f>
        <v>0</v>
      </c>
      <c r="P779" s="50">
        <f>BHP[[#This Row],[qtySaldoAwalSem1]]+BHP[[#This Row],[qtyTerima2025]]-(BHP[[#This Row],[qtyDist2025]]+BHP[[#This Row],[qtyEd2025]])</f>
        <v>130</v>
      </c>
      <c r="Q779" s="52">
        <f>BHP[[#This Row],[qtySaldoAkhir2025]]*BHP[[#This Row],[hargaSatuan]]</f>
        <v>660972</v>
      </c>
      <c r="R779" s="53"/>
      <c r="S779" s="32">
        <f t="shared" si="24"/>
        <v>660972</v>
      </c>
      <c r="T779" s="32">
        <f t="shared" si="25"/>
        <v>0</v>
      </c>
      <c r="U779" s="53"/>
      <c r="W779" s="53"/>
      <c r="X779" s="53"/>
      <c r="Y779" s="53"/>
      <c r="Z779" s="53"/>
      <c r="AA779" s="53"/>
      <c r="AB779" s="53"/>
      <c r="AC779" s="53"/>
      <c r="AD779" s="53"/>
      <c r="AE779" s="53"/>
      <c r="AF779" s="53"/>
      <c r="AG779" s="53"/>
      <c r="AH779" s="53"/>
      <c r="AI779" s="53"/>
      <c r="AJ779" s="53"/>
      <c r="AK779" s="53"/>
      <c r="AL779" s="53"/>
      <c r="AM779" s="53"/>
      <c r="AN779" s="53"/>
      <c r="AO779" s="53"/>
      <c r="AP779" s="53"/>
      <c r="AQ779" s="53"/>
      <c r="AR779" s="53"/>
      <c r="AS779" s="53"/>
      <c r="AT779" s="53"/>
      <c r="AU779" s="53"/>
      <c r="AV779" s="53"/>
      <c r="AW779" s="53"/>
      <c r="AX779" s="53"/>
      <c r="AY779" s="53"/>
      <c r="AZ779" s="53"/>
      <c r="BA779" s="53"/>
      <c r="BB779" s="53"/>
      <c r="BC779" s="53"/>
      <c r="BD779" s="53"/>
      <c r="BE779" s="53"/>
      <c r="BF779" s="53"/>
      <c r="BG779" s="53"/>
    </row>
    <row r="780" spans="1:59" ht="14.4" x14ac:dyDescent="0.3">
      <c r="A780" s="44">
        <v>184</v>
      </c>
      <c r="B780" s="45" t="s">
        <v>920</v>
      </c>
      <c r="C780" s="46" t="s">
        <v>905</v>
      </c>
      <c r="D780" s="47" t="s">
        <v>921</v>
      </c>
      <c r="E780" s="48">
        <v>46143</v>
      </c>
      <c r="F780" s="49">
        <v>5000</v>
      </c>
      <c r="G780" s="45" t="s">
        <v>48</v>
      </c>
      <c r="H780" s="50">
        <v>1370</v>
      </c>
      <c r="I780" s="49">
        <f>BHP[[#This Row],[qtySaldoAwalSem1]]*BHP[[#This Row],[hargaSatuan]]</f>
        <v>6850000</v>
      </c>
      <c r="J780" s="50">
        <v>0</v>
      </c>
      <c r="K780" s="51">
        <f>BHP[[#This Row],[qtyTerima2025]]*BHP[[#This Row],[hargaSatuan]]</f>
        <v>0</v>
      </c>
      <c r="L780" s="50">
        <v>600</v>
      </c>
      <c r="M780" s="51">
        <f>BHP[[#This Row],[qtyDist2025]]*BHP[[#This Row],[hargaSatuan]]</f>
        <v>3000000</v>
      </c>
      <c r="N780" s="50">
        <v>0</v>
      </c>
      <c r="O780" s="51">
        <f>BHP[[#This Row],[qtyEd2025]]*BHP[[#This Row],[hargaSatuan]]</f>
        <v>0</v>
      </c>
      <c r="P780" s="50">
        <f>BHP[[#This Row],[qtySaldoAwalSem1]]+BHP[[#This Row],[qtyTerima2025]]-(BHP[[#This Row],[qtyDist2025]]+BHP[[#This Row],[qtyEd2025]])</f>
        <v>770</v>
      </c>
      <c r="Q780" s="52">
        <f>BHP[[#This Row],[qtySaldoAkhir2025]]*BHP[[#This Row],[hargaSatuan]]</f>
        <v>3850000</v>
      </c>
      <c r="R780" s="53"/>
      <c r="S780" s="32">
        <f t="shared" si="24"/>
        <v>3850000</v>
      </c>
      <c r="T780" s="32">
        <f t="shared" si="25"/>
        <v>0</v>
      </c>
      <c r="U780" s="53"/>
      <c r="W780" s="53"/>
      <c r="X780" s="53"/>
      <c r="Y780" s="53"/>
      <c r="Z780" s="53"/>
      <c r="AA780" s="53"/>
      <c r="AB780" s="53"/>
      <c r="AC780" s="53"/>
      <c r="AD780" s="53"/>
      <c r="AE780" s="53"/>
      <c r="AF780" s="53"/>
      <c r="AG780" s="53"/>
      <c r="AH780" s="53"/>
      <c r="AI780" s="53"/>
      <c r="AJ780" s="53"/>
      <c r="AK780" s="53"/>
      <c r="AL780" s="53"/>
      <c r="AM780" s="53"/>
      <c r="AN780" s="53"/>
      <c r="AO780" s="53"/>
      <c r="AP780" s="53"/>
      <c r="AQ780" s="53"/>
      <c r="AR780" s="53"/>
      <c r="AS780" s="53"/>
      <c r="AT780" s="53"/>
      <c r="AU780" s="53"/>
      <c r="AV780" s="53"/>
      <c r="AW780" s="53"/>
      <c r="AX780" s="53"/>
      <c r="AY780" s="53"/>
      <c r="AZ780" s="53"/>
      <c r="BA780" s="53"/>
      <c r="BB780" s="53"/>
      <c r="BC780" s="53"/>
      <c r="BD780" s="53"/>
      <c r="BE780" s="53"/>
      <c r="BF780" s="53"/>
      <c r="BG780" s="53"/>
    </row>
    <row r="781" spans="1:59" ht="14.4" x14ac:dyDescent="0.3">
      <c r="A781" s="44">
        <v>185</v>
      </c>
      <c r="B781" s="45" t="s">
        <v>920</v>
      </c>
      <c r="C781" s="46" t="s">
        <v>905</v>
      </c>
      <c r="D781" s="47">
        <v>3062488</v>
      </c>
      <c r="E781" s="48">
        <v>46143</v>
      </c>
      <c r="F781" s="49">
        <v>8580</v>
      </c>
      <c r="G781" s="45" t="s">
        <v>17</v>
      </c>
      <c r="H781" s="50">
        <v>130</v>
      </c>
      <c r="I781" s="49">
        <f>BHP[[#This Row],[qtySaldoAwalSem1]]*BHP[[#This Row],[hargaSatuan]]</f>
        <v>1115400</v>
      </c>
      <c r="J781" s="50">
        <v>0</v>
      </c>
      <c r="K781" s="51">
        <f>BHP[[#This Row],[qtyTerima2025]]*BHP[[#This Row],[hargaSatuan]]</f>
        <v>0</v>
      </c>
      <c r="L781" s="50">
        <v>130</v>
      </c>
      <c r="M781" s="51">
        <f>BHP[[#This Row],[qtyDist2025]]*BHP[[#This Row],[hargaSatuan]]</f>
        <v>1115400</v>
      </c>
      <c r="N781" s="50">
        <v>0</v>
      </c>
      <c r="O781" s="51">
        <f>BHP[[#This Row],[qtyEd2025]]*BHP[[#This Row],[hargaSatuan]]</f>
        <v>0</v>
      </c>
      <c r="P781" s="50">
        <f>BHP[[#This Row],[qtySaldoAwalSem1]]+BHP[[#This Row],[qtyTerima2025]]-(BHP[[#This Row],[qtyDist2025]]+BHP[[#This Row],[qtyEd2025]])</f>
        <v>0</v>
      </c>
      <c r="Q781" s="52">
        <f>BHP[[#This Row],[qtySaldoAkhir2025]]*BHP[[#This Row],[hargaSatuan]]</f>
        <v>0</v>
      </c>
      <c r="R781" s="53"/>
      <c r="S781" s="32">
        <f t="shared" si="24"/>
        <v>0</v>
      </c>
      <c r="T781" s="32">
        <f t="shared" si="25"/>
        <v>0</v>
      </c>
      <c r="U781" s="53"/>
      <c r="W781" s="53"/>
      <c r="X781" s="53"/>
      <c r="Y781" s="53"/>
      <c r="Z781" s="53"/>
      <c r="AA781" s="53"/>
      <c r="AB781" s="53"/>
      <c r="AC781" s="53"/>
      <c r="AD781" s="53"/>
      <c r="AE781" s="53"/>
      <c r="AF781" s="53"/>
      <c r="AG781" s="53"/>
      <c r="AH781" s="53"/>
      <c r="AI781" s="53"/>
      <c r="AJ781" s="53"/>
      <c r="AK781" s="53"/>
      <c r="AL781" s="53"/>
      <c r="AM781" s="53"/>
      <c r="AN781" s="53"/>
      <c r="AO781" s="53"/>
      <c r="AP781" s="53"/>
      <c r="AQ781" s="53"/>
      <c r="AR781" s="53"/>
      <c r="AS781" s="53"/>
      <c r="AT781" s="53"/>
      <c r="AU781" s="53"/>
      <c r="AV781" s="53"/>
      <c r="AW781" s="53"/>
      <c r="AX781" s="53"/>
      <c r="AY781" s="53"/>
      <c r="AZ781" s="53"/>
      <c r="BA781" s="53"/>
      <c r="BB781" s="53"/>
      <c r="BC781" s="53"/>
      <c r="BD781" s="53"/>
      <c r="BE781" s="53"/>
      <c r="BF781" s="53"/>
      <c r="BG781" s="53"/>
    </row>
    <row r="782" spans="1:59" ht="14.4" x14ac:dyDescent="0.3">
      <c r="A782" s="44">
        <v>186</v>
      </c>
      <c r="B782" s="45" t="s">
        <v>922</v>
      </c>
      <c r="C782" s="46" t="s">
        <v>905</v>
      </c>
      <c r="D782" s="47">
        <v>20102288</v>
      </c>
      <c r="E782" s="48">
        <v>47058</v>
      </c>
      <c r="F782" s="49">
        <v>9500</v>
      </c>
      <c r="G782" s="45" t="s">
        <v>54</v>
      </c>
      <c r="H782" s="50">
        <v>600</v>
      </c>
      <c r="I782" s="49">
        <f>BHP[[#This Row],[qtySaldoAwalSem1]]*BHP[[#This Row],[hargaSatuan]]</f>
        <v>5700000</v>
      </c>
      <c r="J782" s="50">
        <v>0</v>
      </c>
      <c r="K782" s="51">
        <f>BHP[[#This Row],[qtyTerima2025]]*BHP[[#This Row],[hargaSatuan]]</f>
        <v>0</v>
      </c>
      <c r="L782" s="50">
        <v>200</v>
      </c>
      <c r="M782" s="51">
        <f>BHP[[#This Row],[qtyDist2025]]*BHP[[#This Row],[hargaSatuan]]</f>
        <v>1900000</v>
      </c>
      <c r="N782" s="50">
        <v>0</v>
      </c>
      <c r="O782" s="51">
        <f>BHP[[#This Row],[qtyEd2025]]*BHP[[#This Row],[hargaSatuan]]</f>
        <v>0</v>
      </c>
      <c r="P782" s="50">
        <f>BHP[[#This Row],[qtySaldoAwalSem1]]+BHP[[#This Row],[qtyTerima2025]]-(BHP[[#This Row],[qtyDist2025]]+BHP[[#This Row],[qtyEd2025]])</f>
        <v>400</v>
      </c>
      <c r="Q782" s="52">
        <f>BHP[[#This Row],[qtySaldoAkhir2025]]*BHP[[#This Row],[hargaSatuan]]</f>
        <v>3800000</v>
      </c>
      <c r="R782" s="53"/>
      <c r="S782" s="32">
        <f t="shared" si="24"/>
        <v>3800000</v>
      </c>
      <c r="T782" s="32">
        <f t="shared" si="25"/>
        <v>0</v>
      </c>
      <c r="U782" s="53"/>
      <c r="W782" s="53"/>
      <c r="X782" s="53"/>
      <c r="Y782" s="53"/>
      <c r="Z782" s="53"/>
      <c r="AA782" s="53"/>
      <c r="AB782" s="53"/>
      <c r="AC782" s="53"/>
      <c r="AD782" s="53"/>
      <c r="AE782" s="53"/>
      <c r="AF782" s="53"/>
      <c r="AG782" s="53"/>
      <c r="AH782" s="53"/>
      <c r="AI782" s="53"/>
      <c r="AJ782" s="53"/>
      <c r="AK782" s="53"/>
      <c r="AL782" s="53"/>
      <c r="AM782" s="53"/>
      <c r="AN782" s="53"/>
      <c r="AO782" s="53"/>
      <c r="AP782" s="53"/>
      <c r="AQ782" s="53"/>
      <c r="AR782" s="53"/>
      <c r="AS782" s="53"/>
      <c r="AT782" s="53"/>
      <c r="AU782" s="53"/>
      <c r="AV782" s="53"/>
      <c r="AW782" s="53"/>
      <c r="AX782" s="53"/>
      <c r="AY782" s="53"/>
      <c r="AZ782" s="53"/>
      <c r="BA782" s="53"/>
      <c r="BB782" s="53"/>
      <c r="BC782" s="53"/>
      <c r="BD782" s="53"/>
      <c r="BE782" s="53"/>
      <c r="BF782" s="53"/>
      <c r="BG782" s="53"/>
    </row>
    <row r="783" spans="1:59" ht="14.4" x14ac:dyDescent="0.3">
      <c r="A783" s="44">
        <v>187</v>
      </c>
      <c r="B783" s="45" t="s">
        <v>922</v>
      </c>
      <c r="C783" s="46" t="s">
        <v>905</v>
      </c>
      <c r="D783" s="47">
        <v>24022288</v>
      </c>
      <c r="E783" s="48"/>
      <c r="F783" s="49">
        <v>8580</v>
      </c>
      <c r="G783" s="45" t="s">
        <v>54</v>
      </c>
      <c r="H783" s="50">
        <v>500</v>
      </c>
      <c r="I783" s="49">
        <f>BHP[[#This Row],[qtySaldoAwalSem1]]*BHP[[#This Row],[hargaSatuan]]</f>
        <v>4290000</v>
      </c>
      <c r="J783" s="50">
        <v>0</v>
      </c>
      <c r="K783" s="51">
        <f>BHP[[#This Row],[qtyTerima2025]]*BHP[[#This Row],[hargaSatuan]]</f>
        <v>0</v>
      </c>
      <c r="L783" s="50">
        <v>500</v>
      </c>
      <c r="M783" s="51">
        <f>BHP[[#This Row],[qtyDist2025]]*BHP[[#This Row],[hargaSatuan]]</f>
        <v>4290000</v>
      </c>
      <c r="N783" s="50">
        <v>0</v>
      </c>
      <c r="O783" s="51">
        <f>BHP[[#This Row],[qtyEd2025]]*BHP[[#This Row],[hargaSatuan]]</f>
        <v>0</v>
      </c>
      <c r="P783" s="50">
        <f>BHP[[#This Row],[qtySaldoAwalSem1]]+BHP[[#This Row],[qtyTerima2025]]-(BHP[[#This Row],[qtyDist2025]]+BHP[[#This Row],[qtyEd2025]])</f>
        <v>0</v>
      </c>
      <c r="Q783" s="52">
        <f>BHP[[#This Row],[qtySaldoAkhir2025]]*BHP[[#This Row],[hargaSatuan]]</f>
        <v>0</v>
      </c>
      <c r="R783" s="53"/>
      <c r="S783" s="32">
        <f t="shared" si="24"/>
        <v>0</v>
      </c>
      <c r="T783" s="32">
        <f t="shared" si="25"/>
        <v>0</v>
      </c>
      <c r="U783" s="53"/>
      <c r="W783" s="53"/>
      <c r="X783" s="53"/>
      <c r="Y783" s="53"/>
      <c r="Z783" s="53"/>
      <c r="AA783" s="53"/>
      <c r="AB783" s="53"/>
      <c r="AC783" s="53"/>
      <c r="AD783" s="53"/>
      <c r="AE783" s="53"/>
      <c r="AF783" s="53"/>
      <c r="AG783" s="53"/>
      <c r="AH783" s="53"/>
      <c r="AI783" s="53"/>
      <c r="AJ783" s="53"/>
      <c r="AK783" s="53"/>
      <c r="AL783" s="53"/>
      <c r="AM783" s="53"/>
      <c r="AN783" s="53"/>
      <c r="AO783" s="53"/>
      <c r="AP783" s="53"/>
      <c r="AQ783" s="53"/>
      <c r="AR783" s="53"/>
      <c r="AS783" s="53"/>
      <c r="AT783" s="53"/>
      <c r="AU783" s="53"/>
      <c r="AV783" s="53"/>
      <c r="AW783" s="53"/>
      <c r="AX783" s="53"/>
      <c r="AY783" s="53"/>
      <c r="AZ783" s="53"/>
      <c r="BA783" s="53"/>
      <c r="BB783" s="53"/>
      <c r="BC783" s="53"/>
      <c r="BD783" s="53"/>
      <c r="BE783" s="53"/>
      <c r="BF783" s="53"/>
      <c r="BG783" s="53"/>
    </row>
    <row r="784" spans="1:59" ht="14.4" x14ac:dyDescent="0.3">
      <c r="A784" s="44">
        <v>188</v>
      </c>
      <c r="B784" s="45" t="s">
        <v>923</v>
      </c>
      <c r="C784" s="46" t="s">
        <v>905</v>
      </c>
      <c r="D784" s="47">
        <v>22072188</v>
      </c>
      <c r="E784" s="48">
        <v>46661</v>
      </c>
      <c r="F784" s="49">
        <v>1486.16</v>
      </c>
      <c r="G784" s="45" t="s">
        <v>54</v>
      </c>
      <c r="H784" s="50">
        <v>21250</v>
      </c>
      <c r="I784" s="49">
        <f>BHP[[#This Row],[qtySaldoAwalSem1]]*BHP[[#This Row],[hargaSatuan]]</f>
        <v>31580900</v>
      </c>
      <c r="J784" s="50">
        <v>0</v>
      </c>
      <c r="K784" s="51">
        <f>BHP[[#This Row],[qtyTerima2025]]*BHP[[#This Row],[hargaSatuan]]</f>
        <v>0</v>
      </c>
      <c r="L784" s="50">
        <v>11750</v>
      </c>
      <c r="M784" s="51">
        <f>BHP[[#This Row],[qtyDist2025]]*BHP[[#This Row],[hargaSatuan]]</f>
        <v>17462380</v>
      </c>
      <c r="N784" s="50">
        <v>0</v>
      </c>
      <c r="O784" s="51">
        <f>BHP[[#This Row],[qtyEd2025]]*BHP[[#This Row],[hargaSatuan]]</f>
        <v>0</v>
      </c>
      <c r="P784" s="50">
        <f>BHP[[#This Row],[qtySaldoAwalSem1]]+BHP[[#This Row],[qtyTerima2025]]-(BHP[[#This Row],[qtyDist2025]]+BHP[[#This Row],[qtyEd2025]])</f>
        <v>9500</v>
      </c>
      <c r="Q784" s="52">
        <f>BHP[[#This Row],[qtySaldoAkhir2025]]*BHP[[#This Row],[hargaSatuan]]</f>
        <v>14118520</v>
      </c>
      <c r="R784" s="53"/>
      <c r="S784" s="32">
        <f t="shared" si="24"/>
        <v>14118520</v>
      </c>
      <c r="T784" s="32">
        <f t="shared" si="25"/>
        <v>0</v>
      </c>
      <c r="U784" s="53"/>
      <c r="W784" s="53"/>
      <c r="X784" s="53"/>
      <c r="Y784" s="53"/>
      <c r="Z784" s="53"/>
      <c r="AA784" s="53"/>
      <c r="AB784" s="53"/>
      <c r="AC784" s="53"/>
      <c r="AD784" s="53"/>
      <c r="AE784" s="53"/>
      <c r="AF784" s="53"/>
      <c r="AG784" s="53"/>
      <c r="AH784" s="53"/>
      <c r="AI784" s="53"/>
      <c r="AJ784" s="53"/>
      <c r="AK784" s="53"/>
      <c r="AL784" s="53"/>
      <c r="AM784" s="53"/>
      <c r="AN784" s="53"/>
      <c r="AO784" s="53"/>
      <c r="AP784" s="53"/>
      <c r="AQ784" s="53"/>
      <c r="AR784" s="53"/>
      <c r="AS784" s="53"/>
      <c r="AT784" s="53"/>
      <c r="AU784" s="53"/>
      <c r="AV784" s="53"/>
      <c r="AW784" s="53"/>
      <c r="AX784" s="53"/>
      <c r="AY784" s="53"/>
      <c r="AZ784" s="53"/>
      <c r="BA784" s="53"/>
      <c r="BB784" s="53"/>
      <c r="BC784" s="53"/>
      <c r="BD784" s="53"/>
      <c r="BE784" s="53"/>
      <c r="BF784" s="53"/>
      <c r="BG784" s="53"/>
    </row>
    <row r="785" spans="1:59" ht="14.4" x14ac:dyDescent="0.3">
      <c r="A785" s="44">
        <v>189</v>
      </c>
      <c r="B785" s="45" t="s">
        <v>924</v>
      </c>
      <c r="C785" s="46" t="s">
        <v>905</v>
      </c>
      <c r="D785" s="47" t="s">
        <v>925</v>
      </c>
      <c r="E785" s="48">
        <v>47239</v>
      </c>
      <c r="F785" s="49">
        <v>1736.8171428571429</v>
      </c>
      <c r="G785" s="45" t="s">
        <v>17</v>
      </c>
      <c r="H785" s="50">
        <v>35000</v>
      </c>
      <c r="I785" s="49">
        <f>BHP[[#This Row],[qtySaldoAwalSem1]]*BHP[[#This Row],[hargaSatuan]]</f>
        <v>60788600</v>
      </c>
      <c r="J785" s="50">
        <v>0</v>
      </c>
      <c r="K785" s="51">
        <f>BHP[[#This Row],[qtyTerima2025]]*BHP[[#This Row],[hargaSatuan]]</f>
        <v>0</v>
      </c>
      <c r="L785" s="50">
        <v>0</v>
      </c>
      <c r="M785" s="51">
        <f>BHP[[#This Row],[qtyDist2025]]*BHP[[#This Row],[hargaSatuan]]</f>
        <v>0</v>
      </c>
      <c r="N785" s="50">
        <v>0</v>
      </c>
      <c r="O785" s="51">
        <f>BHP[[#This Row],[qtyEd2025]]*BHP[[#This Row],[hargaSatuan]]</f>
        <v>0</v>
      </c>
      <c r="P785" s="50">
        <f>BHP[[#This Row],[qtySaldoAwalSem1]]+BHP[[#This Row],[qtyTerima2025]]-(BHP[[#This Row],[qtyDist2025]]+BHP[[#This Row],[qtyEd2025]])</f>
        <v>35000</v>
      </c>
      <c r="Q785" s="52">
        <f>BHP[[#This Row],[qtySaldoAkhir2025]]*BHP[[#This Row],[hargaSatuan]]</f>
        <v>60788600</v>
      </c>
      <c r="R785" s="53"/>
      <c r="S785" s="32">
        <f t="shared" si="24"/>
        <v>60788600</v>
      </c>
      <c r="T785" s="32">
        <f t="shared" si="25"/>
        <v>0</v>
      </c>
      <c r="U785" s="53"/>
      <c r="W785" s="53"/>
      <c r="X785" s="53"/>
      <c r="Y785" s="53"/>
      <c r="Z785" s="53"/>
      <c r="AA785" s="53"/>
      <c r="AB785" s="53"/>
      <c r="AC785" s="53"/>
      <c r="AD785" s="53"/>
      <c r="AE785" s="53"/>
      <c r="AF785" s="53"/>
      <c r="AG785" s="53"/>
      <c r="AH785" s="53"/>
      <c r="AI785" s="53"/>
      <c r="AJ785" s="53"/>
      <c r="AK785" s="53"/>
      <c r="AL785" s="53"/>
      <c r="AM785" s="53"/>
      <c r="AN785" s="53"/>
      <c r="AO785" s="53"/>
      <c r="AP785" s="53"/>
      <c r="AQ785" s="53"/>
      <c r="AR785" s="53"/>
      <c r="AS785" s="53"/>
      <c r="AT785" s="53"/>
      <c r="AU785" s="53"/>
      <c r="AV785" s="53"/>
      <c r="AW785" s="53"/>
      <c r="AX785" s="53"/>
      <c r="AY785" s="53"/>
      <c r="AZ785" s="53"/>
      <c r="BA785" s="53"/>
      <c r="BB785" s="53"/>
      <c r="BC785" s="53"/>
      <c r="BD785" s="53"/>
      <c r="BE785" s="53"/>
      <c r="BF785" s="53"/>
      <c r="BG785" s="53"/>
    </row>
    <row r="786" spans="1:59" ht="14.4" x14ac:dyDescent="0.3">
      <c r="A786" s="44">
        <v>190</v>
      </c>
      <c r="B786" s="45" t="s">
        <v>926</v>
      </c>
      <c r="C786" s="46" t="s">
        <v>905</v>
      </c>
      <c r="D786" s="47">
        <v>57002936</v>
      </c>
      <c r="E786" s="48">
        <v>46631</v>
      </c>
      <c r="F786" s="49">
        <v>1512.3418181818199</v>
      </c>
      <c r="G786" s="45" t="s">
        <v>54</v>
      </c>
      <c r="H786" s="50">
        <v>4000</v>
      </c>
      <c r="I786" s="49">
        <f>BHP[[#This Row],[qtySaldoAwalSem1]]*BHP[[#This Row],[hargaSatuan]]</f>
        <v>6049367.2727272799</v>
      </c>
      <c r="J786" s="50">
        <v>0</v>
      </c>
      <c r="K786" s="51">
        <f>BHP[[#This Row],[qtyTerima2025]]*BHP[[#This Row],[hargaSatuan]]</f>
        <v>0</v>
      </c>
      <c r="L786" s="50">
        <v>0</v>
      </c>
      <c r="M786" s="51">
        <f>BHP[[#This Row],[qtyDist2025]]*BHP[[#This Row],[hargaSatuan]]</f>
        <v>0</v>
      </c>
      <c r="N786" s="50">
        <v>0</v>
      </c>
      <c r="O786" s="51">
        <f>BHP[[#This Row],[qtyEd2025]]*BHP[[#This Row],[hargaSatuan]]</f>
        <v>0</v>
      </c>
      <c r="P786" s="50">
        <f>BHP[[#This Row],[qtySaldoAwalSem1]]+BHP[[#This Row],[qtyTerima2025]]-(BHP[[#This Row],[qtyDist2025]]+BHP[[#This Row],[qtyEd2025]])</f>
        <v>4000</v>
      </c>
      <c r="Q786" s="52">
        <f>BHP[[#This Row],[qtySaldoAkhir2025]]*BHP[[#This Row],[hargaSatuan]]</f>
        <v>6049367.2727272799</v>
      </c>
      <c r="R786" s="53"/>
      <c r="S786" s="32">
        <f t="shared" si="24"/>
        <v>6049367.2727272799</v>
      </c>
      <c r="T786" s="32">
        <f t="shared" si="25"/>
        <v>0</v>
      </c>
      <c r="U786" s="53"/>
      <c r="X786" s="53"/>
      <c r="Y786" s="53"/>
      <c r="Z786" s="53"/>
      <c r="AA786" s="53"/>
      <c r="AB786" s="53"/>
      <c r="AC786" s="53"/>
      <c r="AD786" s="53"/>
      <c r="AE786" s="53"/>
      <c r="AF786" s="53"/>
      <c r="AG786" s="53"/>
      <c r="AH786" s="53"/>
      <c r="AI786" s="53"/>
      <c r="AJ786" s="53"/>
      <c r="AK786" s="53"/>
      <c r="AL786" s="53"/>
      <c r="AM786" s="53"/>
      <c r="AN786" s="53"/>
      <c r="AO786" s="53"/>
      <c r="AP786" s="53"/>
      <c r="AQ786" s="53"/>
      <c r="AR786" s="53"/>
      <c r="AS786" s="53"/>
      <c r="AT786" s="53"/>
      <c r="AU786" s="53"/>
      <c r="AV786" s="53"/>
      <c r="AW786" s="53"/>
      <c r="AX786" s="53"/>
      <c r="AY786" s="53"/>
      <c r="AZ786" s="53"/>
      <c r="BA786" s="53"/>
      <c r="BB786" s="53"/>
      <c r="BC786" s="53"/>
      <c r="BD786" s="53"/>
      <c r="BE786" s="53"/>
      <c r="BF786" s="53"/>
      <c r="BG786" s="53"/>
    </row>
    <row r="787" spans="1:59" ht="14.4" x14ac:dyDescent="0.3">
      <c r="A787" s="44">
        <v>191</v>
      </c>
      <c r="B787" s="45" t="s">
        <v>926</v>
      </c>
      <c r="C787" s="46" t="s">
        <v>905</v>
      </c>
      <c r="D787" s="47">
        <v>57002977</v>
      </c>
      <c r="E787" s="48">
        <v>46388</v>
      </c>
      <c r="F787" s="49">
        <v>1512.3418181818199</v>
      </c>
      <c r="G787" s="45" t="s">
        <v>54</v>
      </c>
      <c r="H787" s="50">
        <v>4000</v>
      </c>
      <c r="I787" s="49">
        <f>BHP[[#This Row],[qtySaldoAwalSem1]]*BHP[[#This Row],[hargaSatuan]]</f>
        <v>6049367.2727272799</v>
      </c>
      <c r="J787" s="50">
        <v>0</v>
      </c>
      <c r="K787" s="51">
        <f>BHP[[#This Row],[qtyTerima2025]]*BHP[[#This Row],[hargaSatuan]]</f>
        <v>0</v>
      </c>
      <c r="L787" s="50">
        <v>0</v>
      </c>
      <c r="M787" s="51">
        <f>BHP[[#This Row],[qtyDist2025]]*BHP[[#This Row],[hargaSatuan]]</f>
        <v>0</v>
      </c>
      <c r="N787" s="50">
        <v>0</v>
      </c>
      <c r="O787" s="51">
        <f>BHP[[#This Row],[qtyEd2025]]*BHP[[#This Row],[hargaSatuan]]</f>
        <v>0</v>
      </c>
      <c r="P787" s="50">
        <f>BHP[[#This Row],[qtySaldoAwalSem1]]+BHP[[#This Row],[qtyTerima2025]]-(BHP[[#This Row],[qtyDist2025]]+BHP[[#This Row],[qtyEd2025]])</f>
        <v>4000</v>
      </c>
      <c r="Q787" s="52">
        <f>BHP[[#This Row],[qtySaldoAkhir2025]]*BHP[[#This Row],[hargaSatuan]]</f>
        <v>6049367.2727272799</v>
      </c>
      <c r="R787" s="53"/>
      <c r="S787" s="32">
        <f t="shared" si="24"/>
        <v>6049367.2727272799</v>
      </c>
      <c r="T787" s="32">
        <f t="shared" si="25"/>
        <v>0</v>
      </c>
      <c r="U787" s="53"/>
      <c r="X787" s="53"/>
      <c r="Y787" s="53"/>
      <c r="Z787" s="53"/>
      <c r="AA787" s="53"/>
      <c r="AB787" s="53"/>
      <c r="AC787" s="53"/>
      <c r="AD787" s="53"/>
      <c r="AE787" s="53"/>
      <c r="AF787" s="53"/>
      <c r="AG787" s="53"/>
      <c r="AH787" s="53"/>
      <c r="AI787" s="53"/>
      <c r="AJ787" s="53"/>
      <c r="AK787" s="53"/>
      <c r="AL787" s="53"/>
      <c r="AM787" s="53"/>
      <c r="AN787" s="53"/>
      <c r="AO787" s="53"/>
      <c r="AP787" s="53"/>
      <c r="AQ787" s="53"/>
      <c r="AR787" s="53"/>
      <c r="AS787" s="53"/>
      <c r="AT787" s="53"/>
      <c r="AU787" s="53"/>
      <c r="AV787" s="53"/>
      <c r="AW787" s="53"/>
      <c r="AX787" s="53"/>
      <c r="AY787" s="53"/>
      <c r="AZ787" s="53"/>
      <c r="BA787" s="53"/>
      <c r="BB787" s="53"/>
      <c r="BC787" s="53"/>
      <c r="BD787" s="53"/>
      <c r="BE787" s="53"/>
      <c r="BF787" s="53"/>
      <c r="BG787" s="53"/>
    </row>
    <row r="788" spans="1:59" ht="14.4" x14ac:dyDescent="0.3">
      <c r="A788" s="44">
        <v>192</v>
      </c>
      <c r="B788" s="45" t="s">
        <v>926</v>
      </c>
      <c r="C788" s="46" t="s">
        <v>905</v>
      </c>
      <c r="D788" s="47">
        <v>57502227</v>
      </c>
      <c r="E788" s="48">
        <v>46174</v>
      </c>
      <c r="F788" s="49">
        <v>1512.3418181818199</v>
      </c>
      <c r="G788" s="45" t="s">
        <v>54</v>
      </c>
      <c r="H788" s="50">
        <v>2650</v>
      </c>
      <c r="I788" s="49">
        <f>BHP[[#This Row],[qtySaldoAwalSem1]]*BHP[[#This Row],[hargaSatuan]]</f>
        <v>4007705.818181823</v>
      </c>
      <c r="J788" s="50">
        <v>0</v>
      </c>
      <c r="K788" s="51">
        <f>BHP[[#This Row],[qtyTerima2025]]*BHP[[#This Row],[hargaSatuan]]</f>
        <v>0</v>
      </c>
      <c r="L788" s="50">
        <v>1800</v>
      </c>
      <c r="M788" s="51">
        <f>BHP[[#This Row],[qtyDist2025]]*BHP[[#This Row],[hargaSatuan]]</f>
        <v>2722215.2727272757</v>
      </c>
      <c r="N788" s="50">
        <v>0</v>
      </c>
      <c r="O788" s="51">
        <f>BHP[[#This Row],[qtyEd2025]]*BHP[[#This Row],[hargaSatuan]]</f>
        <v>0</v>
      </c>
      <c r="P788" s="50">
        <f>BHP[[#This Row],[qtySaldoAwalSem1]]+BHP[[#This Row],[qtyTerima2025]]-(BHP[[#This Row],[qtyDist2025]]+BHP[[#This Row],[qtyEd2025]])</f>
        <v>850</v>
      </c>
      <c r="Q788" s="52">
        <f>BHP[[#This Row],[qtySaldoAkhir2025]]*BHP[[#This Row],[hargaSatuan]]</f>
        <v>1285490.545454547</v>
      </c>
      <c r="R788" s="53"/>
      <c r="S788" s="32">
        <f t="shared" si="24"/>
        <v>1285490.5454545473</v>
      </c>
      <c r="T788" s="32">
        <f t="shared" si="25"/>
        <v>-2.3283064365386963E-10</v>
      </c>
      <c r="U788" s="53"/>
      <c r="X788" s="53"/>
      <c r="Y788" s="53"/>
      <c r="Z788" s="53"/>
      <c r="AA788" s="53"/>
      <c r="AB788" s="53"/>
      <c r="AC788" s="53"/>
      <c r="AD788" s="53"/>
      <c r="AE788" s="53"/>
      <c r="AF788" s="53"/>
      <c r="AG788" s="53"/>
      <c r="AH788" s="53"/>
      <c r="AI788" s="53"/>
      <c r="AJ788" s="53"/>
      <c r="AK788" s="53"/>
      <c r="AL788" s="53"/>
      <c r="AM788" s="53"/>
      <c r="AN788" s="53"/>
      <c r="AO788" s="53"/>
      <c r="AP788" s="53"/>
      <c r="AQ788" s="53"/>
      <c r="AR788" s="53"/>
      <c r="AS788" s="53"/>
      <c r="AT788" s="53"/>
      <c r="AU788" s="53"/>
      <c r="AV788" s="53"/>
      <c r="AW788" s="53"/>
      <c r="AX788" s="53"/>
      <c r="AY788" s="53"/>
      <c r="AZ788" s="53"/>
      <c r="BA788" s="53"/>
      <c r="BB788" s="53"/>
      <c r="BC788" s="53"/>
      <c r="BD788" s="53"/>
      <c r="BE788" s="53"/>
      <c r="BF788" s="53"/>
      <c r="BG788" s="53"/>
    </row>
    <row r="789" spans="1:59" ht="14.4" x14ac:dyDescent="0.3">
      <c r="A789" s="44">
        <v>193</v>
      </c>
      <c r="B789" s="45" t="s">
        <v>927</v>
      </c>
      <c r="C789" s="46" t="s">
        <v>752</v>
      </c>
      <c r="D789" s="47">
        <v>57502225</v>
      </c>
      <c r="E789" s="48">
        <v>46966</v>
      </c>
      <c r="F789" s="49">
        <v>8938</v>
      </c>
      <c r="G789" s="45" t="s">
        <v>17</v>
      </c>
      <c r="H789" s="50">
        <v>595</v>
      </c>
      <c r="I789" s="49">
        <f>BHP[[#This Row],[qtySaldoAwalSem1]]*BHP[[#This Row],[hargaSatuan]]</f>
        <v>5318110</v>
      </c>
      <c r="J789" s="50">
        <v>0</v>
      </c>
      <c r="K789" s="51">
        <f>BHP[[#This Row],[qtyTerima2025]]*BHP[[#This Row],[hargaSatuan]]</f>
        <v>0</v>
      </c>
      <c r="L789" s="50">
        <v>0</v>
      </c>
      <c r="M789" s="51">
        <f>BHP[[#This Row],[qtyDist2025]]*BHP[[#This Row],[hargaSatuan]]</f>
        <v>0</v>
      </c>
      <c r="N789" s="50">
        <v>0</v>
      </c>
      <c r="O789" s="51">
        <f>BHP[[#This Row],[qtyEd2025]]*BHP[[#This Row],[hargaSatuan]]</f>
        <v>0</v>
      </c>
      <c r="P789" s="50">
        <f>BHP[[#This Row],[qtySaldoAwalSem1]]+BHP[[#This Row],[qtyTerima2025]]-(BHP[[#This Row],[qtyDist2025]]+BHP[[#This Row],[qtyEd2025]])</f>
        <v>595</v>
      </c>
      <c r="Q789" s="52">
        <f>BHP[[#This Row],[qtySaldoAkhir2025]]*BHP[[#This Row],[hargaSatuan]]</f>
        <v>5318110</v>
      </c>
      <c r="R789" s="53"/>
      <c r="S789" s="32">
        <f t="shared" si="24"/>
        <v>5318110</v>
      </c>
      <c r="T789" s="32">
        <f t="shared" si="25"/>
        <v>0</v>
      </c>
      <c r="U789" s="53"/>
      <c r="X789" s="53"/>
      <c r="Y789" s="53"/>
      <c r="Z789" s="53"/>
      <c r="AA789" s="53"/>
      <c r="AB789" s="53"/>
      <c r="AC789" s="53"/>
      <c r="AD789" s="53"/>
      <c r="AE789" s="53"/>
      <c r="AF789" s="53"/>
      <c r="AG789" s="53"/>
      <c r="AH789" s="53"/>
      <c r="AI789" s="53"/>
      <c r="AJ789" s="53"/>
      <c r="AK789" s="53"/>
      <c r="AL789" s="53"/>
      <c r="AM789" s="53"/>
      <c r="AN789" s="53"/>
      <c r="AO789" s="53"/>
      <c r="AP789" s="53"/>
      <c r="AQ789" s="53"/>
      <c r="AR789" s="53"/>
      <c r="AS789" s="53"/>
      <c r="AT789" s="53"/>
      <c r="AU789" s="53"/>
      <c r="AV789" s="53"/>
      <c r="AW789" s="53"/>
      <c r="AX789" s="53"/>
      <c r="AY789" s="53"/>
      <c r="AZ789" s="53"/>
      <c r="BA789" s="53"/>
      <c r="BB789" s="53"/>
      <c r="BC789" s="53"/>
      <c r="BD789" s="53"/>
      <c r="BE789" s="53"/>
      <c r="BF789" s="53"/>
      <c r="BG789" s="53"/>
    </row>
    <row r="790" spans="1:59" ht="14.4" x14ac:dyDescent="0.3">
      <c r="A790" s="44">
        <v>194</v>
      </c>
      <c r="B790" s="45" t="s">
        <v>927</v>
      </c>
      <c r="C790" s="46" t="s">
        <v>752</v>
      </c>
      <c r="D790" s="47">
        <v>23230103</v>
      </c>
      <c r="E790" s="92">
        <v>46753</v>
      </c>
      <c r="F790" s="49">
        <v>8165</v>
      </c>
      <c r="G790" s="45" t="s">
        <v>17</v>
      </c>
      <c r="H790" s="50">
        <v>685</v>
      </c>
      <c r="I790" s="49">
        <f>BHP[[#This Row],[qtySaldoAwalSem1]]*BHP[[#This Row],[hargaSatuan]]</f>
        <v>5593025</v>
      </c>
      <c r="J790" s="50">
        <v>0</v>
      </c>
      <c r="K790" s="51">
        <f>BHP[[#This Row],[qtyTerima2025]]*BHP[[#This Row],[hargaSatuan]]</f>
        <v>0</v>
      </c>
      <c r="L790" s="50">
        <v>533</v>
      </c>
      <c r="M790" s="51">
        <f>BHP[[#This Row],[qtyDist2025]]*BHP[[#This Row],[hargaSatuan]]</f>
        <v>4351945</v>
      </c>
      <c r="N790" s="50">
        <v>0</v>
      </c>
      <c r="O790" s="51">
        <f>BHP[[#This Row],[qtyEd2025]]*BHP[[#This Row],[hargaSatuan]]</f>
        <v>0</v>
      </c>
      <c r="P790" s="50">
        <f>BHP[[#This Row],[qtySaldoAwalSem1]]+BHP[[#This Row],[qtyTerima2025]]-(BHP[[#This Row],[qtyDist2025]]+BHP[[#This Row],[qtyEd2025]])</f>
        <v>152</v>
      </c>
      <c r="Q790" s="52">
        <f>BHP[[#This Row],[qtySaldoAkhir2025]]*BHP[[#This Row],[hargaSatuan]]</f>
        <v>1241080</v>
      </c>
      <c r="S790" s="32">
        <f t="shared" si="24"/>
        <v>1241080</v>
      </c>
      <c r="T790" s="32">
        <f t="shared" si="25"/>
        <v>0</v>
      </c>
    </row>
    <row r="791" spans="1:59" ht="14.4" x14ac:dyDescent="0.3">
      <c r="A791" s="44">
        <v>195</v>
      </c>
      <c r="B791" s="45" t="s">
        <v>928</v>
      </c>
      <c r="C791" s="46" t="s">
        <v>752</v>
      </c>
      <c r="D791" s="47">
        <v>1111788</v>
      </c>
      <c r="E791" s="92">
        <v>45809</v>
      </c>
      <c r="F791" s="49">
        <v>6325</v>
      </c>
      <c r="G791" s="45" t="s">
        <v>17</v>
      </c>
      <c r="H791" s="50">
        <v>32</v>
      </c>
      <c r="I791" s="49">
        <f>BHP[[#This Row],[qtySaldoAwalSem1]]*BHP[[#This Row],[hargaSatuan]]</f>
        <v>202400</v>
      </c>
      <c r="J791" s="50">
        <v>0</v>
      </c>
      <c r="K791" s="51">
        <f>BHP[[#This Row],[qtyTerima2025]]*BHP[[#This Row],[hargaSatuan]]</f>
        <v>0</v>
      </c>
      <c r="L791" s="50">
        <v>32</v>
      </c>
      <c r="M791" s="51">
        <f>BHP[[#This Row],[qtyDist2025]]*BHP[[#This Row],[hargaSatuan]]</f>
        <v>202400</v>
      </c>
      <c r="N791" s="50">
        <v>0</v>
      </c>
      <c r="O791" s="51">
        <f>BHP[[#This Row],[qtyEd2025]]*BHP[[#This Row],[hargaSatuan]]</f>
        <v>0</v>
      </c>
      <c r="P791" s="50">
        <f>BHP[[#This Row],[qtySaldoAwalSem1]]+BHP[[#This Row],[qtyTerima2025]]-(BHP[[#This Row],[qtyDist2025]]+BHP[[#This Row],[qtyEd2025]])</f>
        <v>0</v>
      </c>
      <c r="Q791" s="52">
        <f>BHP[[#This Row],[qtySaldoAkhir2025]]*BHP[[#This Row],[hargaSatuan]]</f>
        <v>0</v>
      </c>
      <c r="S791" s="32">
        <f t="shared" si="24"/>
        <v>0</v>
      </c>
      <c r="T791" s="32">
        <f t="shared" si="25"/>
        <v>0</v>
      </c>
    </row>
    <row r="792" spans="1:59" ht="14.4" x14ac:dyDescent="0.3">
      <c r="A792" s="44">
        <v>196</v>
      </c>
      <c r="B792" s="45" t="s">
        <v>928</v>
      </c>
      <c r="C792" s="46" t="s">
        <v>752</v>
      </c>
      <c r="D792" s="47">
        <v>28062188</v>
      </c>
      <c r="E792" s="48">
        <v>45778</v>
      </c>
      <c r="F792" s="49">
        <v>6318.18</v>
      </c>
      <c r="G792" s="45" t="s">
        <v>54</v>
      </c>
      <c r="H792" s="50">
        <v>125</v>
      </c>
      <c r="I792" s="49">
        <f>BHP[[#This Row],[qtySaldoAwalSem1]]*BHP[[#This Row],[hargaSatuan]]</f>
        <v>789772.5</v>
      </c>
      <c r="J792" s="50">
        <v>0</v>
      </c>
      <c r="K792" s="51">
        <f>BHP[[#This Row],[qtyTerima2025]]*BHP[[#This Row],[hargaSatuan]]</f>
        <v>0</v>
      </c>
      <c r="L792" s="50">
        <v>125</v>
      </c>
      <c r="M792" s="51">
        <f>BHP[[#This Row],[qtyDist2025]]*BHP[[#This Row],[hargaSatuan]]</f>
        <v>789772.5</v>
      </c>
      <c r="N792" s="50">
        <v>0</v>
      </c>
      <c r="O792" s="51">
        <f>BHP[[#This Row],[qtyEd2025]]*BHP[[#This Row],[hargaSatuan]]</f>
        <v>0</v>
      </c>
      <c r="P792" s="50">
        <f>BHP[[#This Row],[qtySaldoAwalSem1]]+BHP[[#This Row],[qtyTerima2025]]-(BHP[[#This Row],[qtyDist2025]]+BHP[[#This Row],[qtyEd2025]])</f>
        <v>0</v>
      </c>
      <c r="Q792" s="52">
        <f>BHP[[#This Row],[qtySaldoAkhir2025]]*BHP[[#This Row],[hargaSatuan]]</f>
        <v>0</v>
      </c>
      <c r="S792" s="32">
        <f t="shared" si="24"/>
        <v>0</v>
      </c>
      <c r="T792" s="32">
        <f t="shared" si="25"/>
        <v>0</v>
      </c>
    </row>
    <row r="793" spans="1:59" ht="14.4" x14ac:dyDescent="0.3">
      <c r="A793" s="44">
        <v>197</v>
      </c>
      <c r="B793" s="45" t="s">
        <v>929</v>
      </c>
      <c r="C793" s="46" t="s">
        <v>752</v>
      </c>
      <c r="D793" s="47">
        <v>21230317</v>
      </c>
      <c r="E793" s="87">
        <v>46813</v>
      </c>
      <c r="F793" s="49">
        <v>7337.333333333333</v>
      </c>
      <c r="G793" s="45" t="s">
        <v>17</v>
      </c>
      <c r="H793" s="50">
        <v>422</v>
      </c>
      <c r="I793" s="49">
        <f>BHP[[#This Row],[qtySaldoAwalSem1]]*BHP[[#This Row],[hargaSatuan]]</f>
        <v>3096354.6666666665</v>
      </c>
      <c r="J793" s="50">
        <v>0</v>
      </c>
      <c r="K793" s="51">
        <f>BHP[[#This Row],[qtyTerima2025]]*BHP[[#This Row],[hargaSatuan]]</f>
        <v>0</v>
      </c>
      <c r="L793" s="50">
        <v>420</v>
      </c>
      <c r="M793" s="51">
        <f>BHP[[#This Row],[qtyDist2025]]*BHP[[#This Row],[hargaSatuan]]</f>
        <v>3081680</v>
      </c>
      <c r="N793" s="50">
        <v>0</v>
      </c>
      <c r="O793" s="51">
        <f>BHP[[#This Row],[qtyEd2025]]*BHP[[#This Row],[hargaSatuan]]</f>
        <v>0</v>
      </c>
      <c r="P793" s="50">
        <f>BHP[[#This Row],[qtySaldoAwalSem1]]+BHP[[#This Row],[qtyTerima2025]]-(BHP[[#This Row],[qtyDist2025]]+BHP[[#This Row],[qtyEd2025]])</f>
        <v>2</v>
      </c>
      <c r="Q793" s="52">
        <f>BHP[[#This Row],[qtySaldoAkhir2025]]*BHP[[#This Row],[hargaSatuan]]</f>
        <v>14674.666666666666</v>
      </c>
      <c r="S793" s="32">
        <f t="shared" si="24"/>
        <v>14674.666666666511</v>
      </c>
      <c r="T793" s="32">
        <f t="shared" si="25"/>
        <v>1.546140993013978E-10</v>
      </c>
    </row>
    <row r="794" spans="1:59" ht="14.4" x14ac:dyDescent="0.3">
      <c r="A794" s="44">
        <v>198</v>
      </c>
      <c r="B794" s="45" t="s">
        <v>929</v>
      </c>
      <c r="C794" s="46" t="s">
        <v>752</v>
      </c>
      <c r="D794" s="47">
        <v>21240203</v>
      </c>
      <c r="E794" s="48">
        <v>47150</v>
      </c>
      <c r="F794" s="49">
        <v>7976</v>
      </c>
      <c r="G794" s="45" t="s">
        <v>17</v>
      </c>
      <c r="H794" s="50">
        <v>1000</v>
      </c>
      <c r="I794" s="49">
        <f>BHP[[#This Row],[qtySaldoAwalSem1]]*BHP[[#This Row],[hargaSatuan]]</f>
        <v>7976000</v>
      </c>
      <c r="J794" s="50">
        <v>0</v>
      </c>
      <c r="K794" s="51">
        <f>BHP[[#This Row],[qtyTerima2025]]*BHP[[#This Row],[hargaSatuan]]</f>
        <v>0</v>
      </c>
      <c r="L794" s="50">
        <v>1000</v>
      </c>
      <c r="M794" s="51">
        <f>BHP[[#This Row],[qtyDist2025]]*BHP[[#This Row],[hargaSatuan]]</f>
        <v>7976000</v>
      </c>
      <c r="N794" s="50">
        <v>0</v>
      </c>
      <c r="O794" s="51">
        <f>BHP[[#This Row],[qtyEd2025]]*BHP[[#This Row],[hargaSatuan]]</f>
        <v>0</v>
      </c>
      <c r="P794" s="50">
        <f>BHP[[#This Row],[qtySaldoAwalSem1]]+BHP[[#This Row],[qtyTerima2025]]-(BHP[[#This Row],[qtyDist2025]]+BHP[[#This Row],[qtyEd2025]])</f>
        <v>0</v>
      </c>
      <c r="Q794" s="52">
        <f>BHP[[#This Row],[qtySaldoAkhir2025]]*BHP[[#This Row],[hargaSatuan]]</f>
        <v>0</v>
      </c>
      <c r="S794" s="32">
        <f t="shared" si="24"/>
        <v>0</v>
      </c>
      <c r="T794" s="32">
        <f t="shared" si="25"/>
        <v>0</v>
      </c>
    </row>
    <row r="795" spans="1:59" ht="14.4" x14ac:dyDescent="0.3">
      <c r="A795" s="44">
        <v>199</v>
      </c>
      <c r="B795" s="45" t="s">
        <v>929</v>
      </c>
      <c r="C795" s="46" t="s">
        <v>752</v>
      </c>
      <c r="D795" s="47">
        <v>25045076</v>
      </c>
      <c r="E795" s="48">
        <v>46142</v>
      </c>
      <c r="F795" s="49">
        <v>7000</v>
      </c>
      <c r="G795" s="45" t="s">
        <v>40</v>
      </c>
      <c r="H795" s="50">
        <v>0</v>
      </c>
      <c r="I795" s="49">
        <f>BHP[[#This Row],[qtySaldoAwalSem1]]*BHP[[#This Row],[hargaSatuan]]</f>
        <v>0</v>
      </c>
      <c r="J795" s="50">
        <v>300</v>
      </c>
      <c r="K795" s="51">
        <f>BHP[[#This Row],[qtyTerima2025]]*BHP[[#This Row],[hargaSatuan]]</f>
        <v>2100000</v>
      </c>
      <c r="L795" s="50">
        <v>105</v>
      </c>
      <c r="M795" s="51">
        <f>BHP[[#This Row],[qtyDist2025]]*BHP[[#This Row],[hargaSatuan]]</f>
        <v>735000</v>
      </c>
      <c r="N795" s="50">
        <v>0</v>
      </c>
      <c r="O795" s="51">
        <v>0</v>
      </c>
      <c r="P795" s="50">
        <f>BHP[[#This Row],[qtySaldoAwalSem1]]+BHP[[#This Row],[qtyTerima2025]]-(BHP[[#This Row],[qtyDist2025]]+BHP[[#This Row],[qtyEd2025]])</f>
        <v>195</v>
      </c>
      <c r="Q795" s="52">
        <f>BHP[[#This Row],[qtySaldoAkhir2025]]*BHP[[#This Row],[hargaSatuan]]</f>
        <v>1365000</v>
      </c>
      <c r="S795" s="32">
        <f t="shared" si="24"/>
        <v>1365000</v>
      </c>
      <c r="T795" s="32">
        <f t="shared" si="25"/>
        <v>0</v>
      </c>
    </row>
    <row r="796" spans="1:59" ht="14.4" x14ac:dyDescent="0.3">
      <c r="A796" s="44">
        <v>200</v>
      </c>
      <c r="B796" s="45" t="s">
        <v>930</v>
      </c>
      <c r="C796" s="46" t="s">
        <v>931</v>
      </c>
      <c r="D796" s="47">
        <v>0</v>
      </c>
      <c r="E796" s="48"/>
      <c r="F796" s="49">
        <v>80000</v>
      </c>
      <c r="G796" s="45" t="s">
        <v>17</v>
      </c>
      <c r="H796" s="50">
        <v>94</v>
      </c>
      <c r="I796" s="49">
        <f>BHP[[#This Row],[qtySaldoAwalSem1]]*BHP[[#This Row],[hargaSatuan]]</f>
        <v>7520000</v>
      </c>
      <c r="J796" s="50">
        <v>0</v>
      </c>
      <c r="K796" s="51">
        <f>BHP[[#This Row],[qtyTerima2025]]*BHP[[#This Row],[hargaSatuan]]</f>
        <v>0</v>
      </c>
      <c r="L796" s="50">
        <v>0</v>
      </c>
      <c r="M796" s="51">
        <f>BHP[[#This Row],[qtyDist2025]]*BHP[[#This Row],[hargaSatuan]]</f>
        <v>0</v>
      </c>
      <c r="N796" s="50">
        <v>0</v>
      </c>
      <c r="O796" s="51">
        <f>BHP[[#This Row],[qtyEd2025]]*BHP[[#This Row],[hargaSatuan]]</f>
        <v>0</v>
      </c>
      <c r="P796" s="50">
        <f>BHP[[#This Row],[qtySaldoAwalSem1]]+BHP[[#This Row],[qtyTerima2025]]-(BHP[[#This Row],[qtyDist2025]]+BHP[[#This Row],[qtyEd2025]])</f>
        <v>94</v>
      </c>
      <c r="Q796" s="52">
        <f>BHP[[#This Row],[qtySaldoAkhir2025]]*BHP[[#This Row],[hargaSatuan]]</f>
        <v>7520000</v>
      </c>
      <c r="S796" s="32">
        <f t="shared" si="24"/>
        <v>7520000</v>
      </c>
      <c r="T796" s="32">
        <f t="shared" si="25"/>
        <v>0</v>
      </c>
    </row>
    <row r="797" spans="1:59" ht="14.4" x14ac:dyDescent="0.3">
      <c r="A797" s="44">
        <v>201</v>
      </c>
      <c r="B797" s="45" t="s">
        <v>932</v>
      </c>
      <c r="C797" s="46" t="s">
        <v>752</v>
      </c>
      <c r="D797" s="47">
        <v>0</v>
      </c>
      <c r="E797" s="48"/>
      <c r="F797" s="49">
        <v>100000</v>
      </c>
      <c r="G797" s="45" t="s">
        <v>40</v>
      </c>
      <c r="H797" s="50">
        <v>1</v>
      </c>
      <c r="I797" s="49">
        <f>BHP[[#This Row],[qtySaldoAwalSem1]]*BHP[[#This Row],[hargaSatuan]]</f>
        <v>100000</v>
      </c>
      <c r="J797" s="50">
        <v>0</v>
      </c>
      <c r="K797" s="51">
        <f>BHP[[#This Row],[qtyTerima2025]]*BHP[[#This Row],[hargaSatuan]]</f>
        <v>0</v>
      </c>
      <c r="L797" s="50">
        <v>1</v>
      </c>
      <c r="M797" s="51">
        <f>BHP[[#This Row],[qtyDist2025]]*BHP[[#This Row],[hargaSatuan]]</f>
        <v>100000</v>
      </c>
      <c r="N797" s="50">
        <v>0</v>
      </c>
      <c r="O797" s="51">
        <f>BHP[[#This Row],[qtyEd2025]]*BHP[[#This Row],[hargaSatuan]]</f>
        <v>0</v>
      </c>
      <c r="P797" s="50">
        <f>BHP[[#This Row],[qtySaldoAwalSem1]]+BHP[[#This Row],[qtyTerima2025]]-(BHP[[#This Row],[qtyDist2025]]+BHP[[#This Row],[qtyEd2025]])</f>
        <v>0</v>
      </c>
      <c r="Q797" s="52">
        <f>BHP[[#This Row],[qtySaldoAkhir2025]]*BHP[[#This Row],[hargaSatuan]]</f>
        <v>0</v>
      </c>
      <c r="S797" s="32">
        <f t="shared" si="24"/>
        <v>0</v>
      </c>
      <c r="T797" s="32">
        <f t="shared" si="25"/>
        <v>0</v>
      </c>
    </row>
    <row r="798" spans="1:59" ht="14.4" x14ac:dyDescent="0.3">
      <c r="A798" s="44">
        <v>202</v>
      </c>
      <c r="B798" s="45" t="s">
        <v>933</v>
      </c>
      <c r="C798" s="46" t="s">
        <v>784</v>
      </c>
      <c r="D798" s="47" t="s">
        <v>934</v>
      </c>
      <c r="E798" s="87">
        <v>47298</v>
      </c>
      <c r="F798" s="49">
        <v>4720.83</v>
      </c>
      <c r="G798" s="45" t="s">
        <v>40</v>
      </c>
      <c r="H798" s="50">
        <v>0</v>
      </c>
      <c r="I798" s="49">
        <f>BHP[[#This Row],[qtySaldoAwalSem1]]*BHP[[#This Row],[hargaSatuan]]</f>
        <v>0</v>
      </c>
      <c r="J798" s="50">
        <v>360</v>
      </c>
      <c r="K798" s="51">
        <f>BHP[[#This Row],[qtyTerima2025]]*BHP[[#This Row],[hargaSatuan]]</f>
        <v>1699498.8</v>
      </c>
      <c r="L798" s="50">
        <v>162</v>
      </c>
      <c r="M798" s="51">
        <f>BHP[[#This Row],[qtyDist2025]]*BHP[[#This Row],[hargaSatuan]]</f>
        <v>764774.46</v>
      </c>
      <c r="N798" s="50">
        <v>0</v>
      </c>
      <c r="O798" s="51">
        <v>0</v>
      </c>
      <c r="P798" s="50">
        <f>BHP[[#This Row],[qtySaldoAwalSem1]]+BHP[[#This Row],[qtyTerima2025]]-(BHP[[#This Row],[qtyDist2025]]+BHP[[#This Row],[qtyEd2025]])</f>
        <v>198</v>
      </c>
      <c r="Q798" s="52">
        <f>BHP[[#This Row],[qtySaldoAkhir2025]]*BHP[[#This Row],[hargaSatuan]]</f>
        <v>934724.34</v>
      </c>
      <c r="S798" s="32">
        <f t="shared" si="24"/>
        <v>934724.34000000008</v>
      </c>
      <c r="T798" s="32">
        <f t="shared" si="25"/>
        <v>-1.1641532182693481E-10</v>
      </c>
    </row>
    <row r="799" spans="1:59" ht="14.4" x14ac:dyDescent="0.3">
      <c r="A799" s="44">
        <v>203</v>
      </c>
      <c r="B799" s="45" t="s">
        <v>935</v>
      </c>
      <c r="C799" s="46" t="s">
        <v>752</v>
      </c>
      <c r="D799" s="47">
        <v>0</v>
      </c>
      <c r="E799" s="48"/>
      <c r="F799" s="49">
        <v>65000</v>
      </c>
      <c r="G799" s="45" t="s">
        <v>17</v>
      </c>
      <c r="H799" s="50">
        <v>73</v>
      </c>
      <c r="I799" s="49">
        <f>BHP[[#This Row],[qtySaldoAwalSem1]]*BHP[[#This Row],[hargaSatuan]]</f>
        <v>4745000</v>
      </c>
      <c r="J799" s="50">
        <v>0</v>
      </c>
      <c r="K799" s="51">
        <f>BHP[[#This Row],[qtyTerima2025]]*BHP[[#This Row],[hargaSatuan]]</f>
        <v>0</v>
      </c>
      <c r="L799" s="50">
        <v>0</v>
      </c>
      <c r="M799" s="51">
        <f>BHP[[#This Row],[qtyDist2025]]*BHP[[#This Row],[hargaSatuan]]</f>
        <v>0</v>
      </c>
      <c r="N799" s="50">
        <v>0</v>
      </c>
      <c r="O799" s="51">
        <f>BHP[[#This Row],[qtyEd2025]]*BHP[[#This Row],[hargaSatuan]]</f>
        <v>0</v>
      </c>
      <c r="P799" s="50">
        <f>BHP[[#This Row],[qtySaldoAwalSem1]]+BHP[[#This Row],[qtyTerima2025]]-(BHP[[#This Row],[qtyDist2025]]+BHP[[#This Row],[qtyEd2025]])</f>
        <v>73</v>
      </c>
      <c r="Q799" s="52">
        <f>BHP[[#This Row],[qtySaldoAkhir2025]]*BHP[[#This Row],[hargaSatuan]]</f>
        <v>4745000</v>
      </c>
      <c r="S799" s="32">
        <f t="shared" si="24"/>
        <v>4745000</v>
      </c>
      <c r="T799" s="32">
        <f t="shared" si="25"/>
        <v>0</v>
      </c>
    </row>
    <row r="800" spans="1:59" ht="14.4" x14ac:dyDescent="0.3">
      <c r="A800" s="44">
        <v>204</v>
      </c>
      <c r="B800" s="45" t="s">
        <v>936</v>
      </c>
      <c r="C800" s="46" t="s">
        <v>752</v>
      </c>
      <c r="D800" s="47">
        <v>0</v>
      </c>
      <c r="E800" s="48"/>
      <c r="F800" s="49">
        <v>64000</v>
      </c>
      <c r="G800" s="45" t="s">
        <v>48</v>
      </c>
      <c r="H800" s="50">
        <v>919</v>
      </c>
      <c r="I800" s="49">
        <f>BHP[[#This Row],[qtySaldoAwalSem1]]*BHP[[#This Row],[hargaSatuan]]</f>
        <v>58816000</v>
      </c>
      <c r="J800" s="50">
        <v>0</v>
      </c>
      <c r="K800" s="51">
        <f>BHP[[#This Row],[qtyTerima2025]]*BHP[[#This Row],[hargaSatuan]]</f>
        <v>0</v>
      </c>
      <c r="L800" s="50">
        <v>0</v>
      </c>
      <c r="M800" s="51">
        <f>BHP[[#This Row],[qtyDist2025]]*BHP[[#This Row],[hargaSatuan]]</f>
        <v>0</v>
      </c>
      <c r="N800" s="50">
        <v>0</v>
      </c>
      <c r="O800" s="51">
        <f>BHP[[#This Row],[qtyEd2025]]*BHP[[#This Row],[hargaSatuan]]</f>
        <v>0</v>
      </c>
      <c r="P800" s="50">
        <f>BHP[[#This Row],[qtySaldoAwalSem1]]+BHP[[#This Row],[qtyTerima2025]]-(BHP[[#This Row],[qtyDist2025]]+BHP[[#This Row],[qtyEd2025]])</f>
        <v>919</v>
      </c>
      <c r="Q800" s="52">
        <f>BHP[[#This Row],[qtySaldoAkhir2025]]*BHP[[#This Row],[hargaSatuan]]</f>
        <v>58816000</v>
      </c>
      <c r="S800" s="32">
        <f t="shared" si="24"/>
        <v>58816000</v>
      </c>
      <c r="T800" s="32">
        <f t="shared" si="25"/>
        <v>0</v>
      </c>
    </row>
    <row r="801" spans="1:23" ht="14.4" x14ac:dyDescent="0.3">
      <c r="A801" s="44">
        <v>205</v>
      </c>
      <c r="B801" s="45" t="s">
        <v>937</v>
      </c>
      <c r="C801" s="46" t="s">
        <v>752</v>
      </c>
      <c r="D801" s="47" t="s">
        <v>938</v>
      </c>
      <c r="E801" s="48">
        <v>47331</v>
      </c>
      <c r="F801" s="49">
        <v>3782.7692307692309</v>
      </c>
      <c r="G801" s="45" t="s">
        <v>54</v>
      </c>
      <c r="H801" s="50">
        <v>4700</v>
      </c>
      <c r="I801" s="49">
        <f>BHP[[#This Row],[qtySaldoAwalSem1]]*BHP[[#This Row],[hargaSatuan]]</f>
        <v>17779015.384615384</v>
      </c>
      <c r="J801" s="50">
        <v>0</v>
      </c>
      <c r="K801" s="51">
        <f>BHP[[#This Row],[qtyTerima2025]]*BHP[[#This Row],[hargaSatuan]]</f>
        <v>0</v>
      </c>
      <c r="L801" s="50">
        <v>4700</v>
      </c>
      <c r="M801" s="51">
        <f>BHP[[#This Row],[qtyDist2025]]*BHP[[#This Row],[hargaSatuan]]</f>
        <v>17779015.384615384</v>
      </c>
      <c r="N801" s="50">
        <v>0</v>
      </c>
      <c r="O801" s="51">
        <f>BHP[[#This Row],[qtyEd2025]]*BHP[[#This Row],[hargaSatuan]]</f>
        <v>0</v>
      </c>
      <c r="P801" s="50">
        <f>BHP[[#This Row],[qtySaldoAwalSem1]]+BHP[[#This Row],[qtyTerima2025]]-(BHP[[#This Row],[qtyDist2025]]+BHP[[#This Row],[qtyEd2025]])</f>
        <v>0</v>
      </c>
      <c r="Q801" s="52">
        <f>BHP[[#This Row],[qtySaldoAkhir2025]]*BHP[[#This Row],[hargaSatuan]]</f>
        <v>0</v>
      </c>
      <c r="S801" s="32">
        <f t="shared" si="24"/>
        <v>0</v>
      </c>
      <c r="T801" s="32">
        <f t="shared" si="25"/>
        <v>0</v>
      </c>
    </row>
    <row r="802" spans="1:23" ht="14.4" x14ac:dyDescent="0.3">
      <c r="A802" s="44">
        <v>206</v>
      </c>
      <c r="B802" s="45" t="s">
        <v>937</v>
      </c>
      <c r="C802" s="46" t="s">
        <v>752</v>
      </c>
      <c r="D802" s="47" t="s">
        <v>939</v>
      </c>
      <c r="E802" s="48">
        <v>47542</v>
      </c>
      <c r="F802" s="49">
        <v>4186.92</v>
      </c>
      <c r="G802" s="45" t="s">
        <v>41</v>
      </c>
      <c r="H802" s="50">
        <v>0</v>
      </c>
      <c r="I802" s="49">
        <f>BHP[[#This Row],[qtySaldoAwalSem1]]*BHP[[#This Row],[hargaSatuan]]</f>
        <v>0</v>
      </c>
      <c r="J802" s="50">
        <v>5000</v>
      </c>
      <c r="K802" s="51">
        <f>BHP[[#This Row],[qtyTerima2025]]*BHP[[#This Row],[hargaSatuan]]</f>
        <v>20934600</v>
      </c>
      <c r="L802" s="50">
        <v>200</v>
      </c>
      <c r="M802" s="51">
        <f>BHP[[#This Row],[qtyDist2025]]*BHP[[#This Row],[hargaSatuan]]</f>
        <v>837384</v>
      </c>
      <c r="N802" s="50">
        <v>0</v>
      </c>
      <c r="O802" s="51">
        <v>0</v>
      </c>
      <c r="P802" s="50">
        <f>BHP[[#This Row],[qtySaldoAwalSem1]]+BHP[[#This Row],[qtyTerima2025]]-(BHP[[#This Row],[qtyDist2025]]+BHP[[#This Row],[qtyEd2025]])</f>
        <v>4800</v>
      </c>
      <c r="Q802" s="52">
        <f>BHP[[#This Row],[qtySaldoAkhir2025]]*BHP[[#This Row],[hargaSatuan]]</f>
        <v>20097216</v>
      </c>
      <c r="S802" s="32">
        <f t="shared" si="24"/>
        <v>20097216</v>
      </c>
      <c r="T802" s="32">
        <f t="shared" si="25"/>
        <v>0</v>
      </c>
    </row>
    <row r="803" spans="1:23" ht="14.4" x14ac:dyDescent="0.3">
      <c r="A803" s="44">
        <v>207</v>
      </c>
      <c r="B803" s="45" t="s">
        <v>940</v>
      </c>
      <c r="C803" s="46" t="s">
        <v>752</v>
      </c>
      <c r="D803" s="47">
        <v>11240108</v>
      </c>
      <c r="E803" s="87">
        <v>47119</v>
      </c>
      <c r="F803" s="49">
        <v>5772</v>
      </c>
      <c r="G803" s="45" t="s">
        <v>17</v>
      </c>
      <c r="H803" s="50">
        <v>1000</v>
      </c>
      <c r="I803" s="49">
        <f>BHP[[#This Row],[qtySaldoAwalSem1]]*BHP[[#This Row],[hargaSatuan]]</f>
        <v>5772000</v>
      </c>
      <c r="J803" s="50">
        <v>0</v>
      </c>
      <c r="K803" s="51">
        <f>BHP[[#This Row],[qtyTerima2025]]*BHP[[#This Row],[hargaSatuan]]</f>
        <v>0</v>
      </c>
      <c r="L803" s="50">
        <v>0</v>
      </c>
      <c r="M803" s="51">
        <f>BHP[[#This Row],[qtyDist2025]]*BHP[[#This Row],[hargaSatuan]]</f>
        <v>0</v>
      </c>
      <c r="N803" s="50">
        <v>0</v>
      </c>
      <c r="O803" s="51">
        <f>BHP[[#This Row],[qtyEd2025]]*BHP[[#This Row],[hargaSatuan]]</f>
        <v>0</v>
      </c>
      <c r="P803" s="50">
        <f>BHP[[#This Row],[qtySaldoAwalSem1]]+BHP[[#This Row],[qtyTerima2025]]-(BHP[[#This Row],[qtyDist2025]]+BHP[[#This Row],[qtyEd2025]])</f>
        <v>1000</v>
      </c>
      <c r="Q803" s="52">
        <f>BHP[[#This Row],[qtySaldoAkhir2025]]*BHP[[#This Row],[hargaSatuan]]</f>
        <v>5772000</v>
      </c>
      <c r="S803" s="32">
        <f t="shared" si="24"/>
        <v>5772000</v>
      </c>
      <c r="T803" s="32">
        <f t="shared" si="25"/>
        <v>0</v>
      </c>
    </row>
    <row r="804" spans="1:23" ht="14.4" x14ac:dyDescent="0.3">
      <c r="A804" s="44">
        <v>208</v>
      </c>
      <c r="B804" s="45" t="s">
        <v>941</v>
      </c>
      <c r="C804" s="46" t="s">
        <v>752</v>
      </c>
      <c r="D804" s="47">
        <v>11220809</v>
      </c>
      <c r="E804" s="48">
        <v>46600</v>
      </c>
      <c r="F804" s="49">
        <v>5772</v>
      </c>
      <c r="G804" s="45" t="s">
        <v>17</v>
      </c>
      <c r="H804" s="50">
        <v>488</v>
      </c>
      <c r="I804" s="49">
        <f>BHP[[#This Row],[qtySaldoAwalSem1]]*BHP[[#This Row],[hargaSatuan]]</f>
        <v>2816736</v>
      </c>
      <c r="J804" s="50">
        <v>0</v>
      </c>
      <c r="K804" s="51">
        <f>BHP[[#This Row],[qtyTerima2025]]*BHP[[#This Row],[hargaSatuan]]</f>
        <v>0</v>
      </c>
      <c r="L804" s="50">
        <v>410</v>
      </c>
      <c r="M804" s="51">
        <f>BHP[[#This Row],[qtyDist2025]]*BHP[[#This Row],[hargaSatuan]]</f>
        <v>2366520</v>
      </c>
      <c r="N804" s="50">
        <v>0</v>
      </c>
      <c r="O804" s="51">
        <f>BHP[[#This Row],[qtyEd2025]]*BHP[[#This Row],[hargaSatuan]]</f>
        <v>0</v>
      </c>
      <c r="P804" s="50">
        <f>BHP[[#This Row],[qtySaldoAwalSem1]]+BHP[[#This Row],[qtyTerima2025]]-(BHP[[#This Row],[qtyDist2025]]+BHP[[#This Row],[qtyEd2025]])</f>
        <v>78</v>
      </c>
      <c r="Q804" s="52">
        <f>BHP[[#This Row],[qtySaldoAkhir2025]]*BHP[[#This Row],[hargaSatuan]]</f>
        <v>450216</v>
      </c>
      <c r="S804" s="32">
        <f t="shared" si="24"/>
        <v>450216</v>
      </c>
      <c r="T804" s="32">
        <f t="shared" si="25"/>
        <v>0</v>
      </c>
    </row>
    <row r="805" spans="1:23" ht="14.4" x14ac:dyDescent="0.3">
      <c r="A805" s="44">
        <v>209</v>
      </c>
      <c r="B805" s="45" t="s">
        <v>942</v>
      </c>
      <c r="C805" s="46" t="s">
        <v>752</v>
      </c>
      <c r="D805" s="47" t="s">
        <v>943</v>
      </c>
      <c r="E805" s="87">
        <v>47209</v>
      </c>
      <c r="F805" s="49">
        <v>8640</v>
      </c>
      <c r="G805" s="45" t="s">
        <v>54</v>
      </c>
      <c r="H805" s="50">
        <v>4000</v>
      </c>
      <c r="I805" s="49">
        <f>BHP[[#This Row],[qtySaldoAwalSem1]]*BHP[[#This Row],[hargaSatuan]]</f>
        <v>34560000</v>
      </c>
      <c r="J805" s="50">
        <v>0</v>
      </c>
      <c r="K805" s="51">
        <f>BHP[[#This Row],[qtyTerima2025]]*BHP[[#This Row],[hargaSatuan]]</f>
        <v>0</v>
      </c>
      <c r="L805" s="50">
        <v>0</v>
      </c>
      <c r="M805" s="51">
        <f>BHP[[#This Row],[qtyDist2025]]*BHP[[#This Row],[hargaSatuan]]</f>
        <v>0</v>
      </c>
      <c r="N805" s="50">
        <v>0</v>
      </c>
      <c r="O805" s="51">
        <f>BHP[[#This Row],[qtyEd2025]]*BHP[[#This Row],[hargaSatuan]]</f>
        <v>0</v>
      </c>
      <c r="P805" s="50">
        <f>BHP[[#This Row],[qtySaldoAwalSem1]]+BHP[[#This Row],[qtyTerima2025]]-(BHP[[#This Row],[qtyDist2025]]+BHP[[#This Row],[qtyEd2025]])</f>
        <v>4000</v>
      </c>
      <c r="Q805" s="52">
        <f>BHP[[#This Row],[qtySaldoAkhir2025]]*BHP[[#This Row],[hargaSatuan]]</f>
        <v>34560000</v>
      </c>
      <c r="S805" s="32">
        <f t="shared" si="24"/>
        <v>34560000</v>
      </c>
      <c r="T805" s="32">
        <f t="shared" si="25"/>
        <v>0</v>
      </c>
    </row>
    <row r="806" spans="1:23" ht="14.4" x14ac:dyDescent="0.3">
      <c r="A806" s="44">
        <v>210</v>
      </c>
      <c r="B806" s="45" t="s">
        <v>944</v>
      </c>
      <c r="C806" s="46" t="s">
        <v>349</v>
      </c>
      <c r="D806" s="47" t="s">
        <v>945</v>
      </c>
      <c r="E806" s="87">
        <v>47574</v>
      </c>
      <c r="F806" s="49">
        <v>23000</v>
      </c>
      <c r="G806" s="45" t="s">
        <v>41</v>
      </c>
      <c r="H806" s="50">
        <v>0</v>
      </c>
      <c r="I806" s="49">
        <f>BHP[[#This Row],[qtySaldoAwalSem1]]*BHP[[#This Row],[hargaSatuan]]</f>
        <v>0</v>
      </c>
      <c r="J806" s="50">
        <v>338</v>
      </c>
      <c r="K806" s="51">
        <f>BHP[[#This Row],[qtyTerima2025]]*BHP[[#This Row],[hargaSatuan]]</f>
        <v>7774000</v>
      </c>
      <c r="L806" s="50">
        <v>0</v>
      </c>
      <c r="M806" s="51">
        <f>BHP[[#This Row],[qtyDist2025]]*BHP[[#This Row],[hargaSatuan]]</f>
        <v>0</v>
      </c>
      <c r="N806" s="50">
        <v>0</v>
      </c>
      <c r="O806" s="51">
        <v>0</v>
      </c>
      <c r="P806" s="50">
        <f>BHP[[#This Row],[qtySaldoAwalSem1]]+BHP[[#This Row],[qtyTerima2025]]-(BHP[[#This Row],[qtyDist2025]]+BHP[[#This Row],[qtyEd2025]])</f>
        <v>338</v>
      </c>
      <c r="Q806" s="52">
        <f>BHP[[#This Row],[qtySaldoAkhir2025]]*BHP[[#This Row],[hargaSatuan]]</f>
        <v>7774000</v>
      </c>
      <c r="S806" s="32">
        <f t="shared" si="24"/>
        <v>7774000</v>
      </c>
      <c r="T806" s="32">
        <f t="shared" si="25"/>
        <v>0</v>
      </c>
    </row>
    <row r="807" spans="1:23" ht="14.4" x14ac:dyDescent="0.3">
      <c r="A807" s="44">
        <v>211</v>
      </c>
      <c r="B807" s="45" t="s">
        <v>944</v>
      </c>
      <c r="C807" s="46" t="s">
        <v>349</v>
      </c>
      <c r="D807" s="47" t="s">
        <v>946</v>
      </c>
      <c r="E807" s="48">
        <v>47117</v>
      </c>
      <c r="F807" s="49">
        <v>23000</v>
      </c>
      <c r="G807" s="45" t="s">
        <v>41</v>
      </c>
      <c r="H807" s="50">
        <v>0</v>
      </c>
      <c r="I807" s="49">
        <f>BHP[[#This Row],[qtySaldoAwalSem1]]*BHP[[#This Row],[hargaSatuan]]</f>
        <v>0</v>
      </c>
      <c r="J807" s="50">
        <v>57</v>
      </c>
      <c r="K807" s="51">
        <f>BHP[[#This Row],[qtyTerima2025]]*BHP[[#This Row],[hargaSatuan]]</f>
        <v>1311000</v>
      </c>
      <c r="L807" s="50">
        <v>0</v>
      </c>
      <c r="M807" s="51">
        <f>BHP[[#This Row],[qtyDist2025]]*BHP[[#This Row],[hargaSatuan]]</f>
        <v>0</v>
      </c>
      <c r="N807" s="50">
        <v>0</v>
      </c>
      <c r="O807" s="51">
        <v>0</v>
      </c>
      <c r="P807" s="50">
        <f>BHP[[#This Row],[qtySaldoAwalSem1]]+BHP[[#This Row],[qtyTerima2025]]-(BHP[[#This Row],[qtyDist2025]]+BHP[[#This Row],[qtyEd2025]])</f>
        <v>57</v>
      </c>
      <c r="Q807" s="52">
        <f>BHP[[#This Row],[qtySaldoAkhir2025]]*BHP[[#This Row],[hargaSatuan]]</f>
        <v>1311000</v>
      </c>
      <c r="S807" s="32">
        <f t="shared" si="24"/>
        <v>1311000</v>
      </c>
      <c r="T807" s="32">
        <f t="shared" si="25"/>
        <v>0</v>
      </c>
    </row>
    <row r="808" spans="1:23" ht="14.4" x14ac:dyDescent="0.3">
      <c r="A808" s="44">
        <v>212</v>
      </c>
      <c r="B808" s="45" t="s">
        <v>944</v>
      </c>
      <c r="C808" s="46" t="s">
        <v>349</v>
      </c>
      <c r="D808" s="47" t="s">
        <v>947</v>
      </c>
      <c r="E808" s="48">
        <v>47117</v>
      </c>
      <c r="F808" s="49">
        <v>23000</v>
      </c>
      <c r="G808" s="45" t="s">
        <v>41</v>
      </c>
      <c r="H808" s="50">
        <v>0</v>
      </c>
      <c r="I808" s="49">
        <f>BHP[[#This Row],[qtySaldoAwalSem1]]*BHP[[#This Row],[hargaSatuan]]</f>
        <v>0</v>
      </c>
      <c r="J808" s="50">
        <v>5</v>
      </c>
      <c r="K808" s="51">
        <f>BHP[[#This Row],[qtyTerima2025]]*BHP[[#This Row],[hargaSatuan]]</f>
        <v>115000</v>
      </c>
      <c r="L808" s="50">
        <v>0</v>
      </c>
      <c r="M808" s="51">
        <f>BHP[[#This Row],[qtyDist2025]]*BHP[[#This Row],[hargaSatuan]]</f>
        <v>0</v>
      </c>
      <c r="N808" s="50">
        <v>0</v>
      </c>
      <c r="O808" s="51">
        <v>0</v>
      </c>
      <c r="P808" s="50">
        <f>BHP[[#This Row],[qtySaldoAwalSem1]]+BHP[[#This Row],[qtyTerima2025]]-(BHP[[#This Row],[qtyDist2025]]+BHP[[#This Row],[qtyEd2025]])</f>
        <v>5</v>
      </c>
      <c r="Q808" s="52">
        <f>BHP[[#This Row],[qtySaldoAkhir2025]]*BHP[[#This Row],[hargaSatuan]]</f>
        <v>115000</v>
      </c>
      <c r="S808" s="32">
        <f t="shared" si="24"/>
        <v>115000</v>
      </c>
      <c r="T808" s="32">
        <f t="shared" si="25"/>
        <v>0</v>
      </c>
    </row>
    <row r="809" spans="1:23" ht="14.4" x14ac:dyDescent="0.3">
      <c r="A809" s="44">
        <v>213</v>
      </c>
      <c r="B809" s="45" t="s">
        <v>948</v>
      </c>
      <c r="C809" s="46" t="s">
        <v>529</v>
      </c>
      <c r="D809" s="47">
        <v>25035024</v>
      </c>
      <c r="E809" s="87">
        <v>46813</v>
      </c>
      <c r="F809" s="49">
        <v>17652.8</v>
      </c>
      <c r="G809" s="45" t="s">
        <v>36</v>
      </c>
      <c r="H809" s="50">
        <v>0</v>
      </c>
      <c r="I809" s="49">
        <f>BHP[[#This Row],[qtySaldoAwalSem1]]*BHP[[#This Row],[hargaSatuan]]</f>
        <v>0</v>
      </c>
      <c r="J809" s="50">
        <v>285</v>
      </c>
      <c r="K809" s="51">
        <f>BHP[[#This Row],[qtyTerima2025]]*BHP[[#This Row],[hargaSatuan]]</f>
        <v>5031048</v>
      </c>
      <c r="L809" s="50">
        <v>22</v>
      </c>
      <c r="M809" s="51">
        <f>BHP[[#This Row],[qtyDist2025]]*BHP[[#This Row],[hargaSatuan]]</f>
        <v>388361.6</v>
      </c>
      <c r="N809" s="50">
        <v>0</v>
      </c>
      <c r="O809" s="51">
        <v>0</v>
      </c>
      <c r="P809" s="50">
        <f>BHP[[#This Row],[qtySaldoAwalSem1]]+BHP[[#This Row],[qtyTerima2025]]-(BHP[[#This Row],[qtyDist2025]]+BHP[[#This Row],[qtyEd2025]])</f>
        <v>263</v>
      </c>
      <c r="Q809" s="52">
        <f>BHP[[#This Row],[qtySaldoAkhir2025]]*BHP[[#This Row],[hargaSatuan]]</f>
        <v>4642686.3999999994</v>
      </c>
      <c r="S809" s="32">
        <f t="shared" si="24"/>
        <v>4642686.4000000004</v>
      </c>
      <c r="T809" s="32">
        <f t="shared" si="25"/>
        <v>-9.3132257461547852E-10</v>
      </c>
    </row>
    <row r="810" spans="1:23" ht="14.4" x14ac:dyDescent="0.3">
      <c r="A810" s="44">
        <v>214</v>
      </c>
      <c r="B810" s="45" t="s">
        <v>949</v>
      </c>
      <c r="C810" s="46" t="s">
        <v>529</v>
      </c>
      <c r="D810" s="47">
        <v>8042588</v>
      </c>
      <c r="E810" s="87">
        <v>46477</v>
      </c>
      <c r="F810" s="49">
        <v>17017</v>
      </c>
      <c r="G810" s="45" t="s">
        <v>60</v>
      </c>
      <c r="H810" s="50">
        <v>0</v>
      </c>
      <c r="I810" s="49">
        <f>BHP[[#This Row],[qtySaldoAwalSem1]]*BHP[[#This Row],[hargaSatuan]]</f>
        <v>0</v>
      </c>
      <c r="J810" s="50">
        <v>267</v>
      </c>
      <c r="K810" s="51">
        <f>BHP[[#This Row],[qtyTerima2025]]*BHP[[#This Row],[hargaSatuan]]</f>
        <v>4543539</v>
      </c>
      <c r="L810" s="50">
        <v>267</v>
      </c>
      <c r="M810" s="51">
        <f>BHP[[#This Row],[qtyDist2025]]*BHP[[#This Row],[hargaSatuan]]</f>
        <v>4543539</v>
      </c>
      <c r="N810" s="50">
        <v>0</v>
      </c>
      <c r="O810" s="51">
        <v>0</v>
      </c>
      <c r="P810" s="50">
        <f>BHP[[#This Row],[qtySaldoAwalSem1]]+BHP[[#This Row],[qtyTerima2025]]-(BHP[[#This Row],[qtyDist2025]]+BHP[[#This Row],[qtyEd2025]])</f>
        <v>0</v>
      </c>
      <c r="Q810" s="52">
        <f>BHP[[#This Row],[qtySaldoAkhir2025]]*BHP[[#This Row],[hargaSatuan]]</f>
        <v>0</v>
      </c>
      <c r="S810" s="32">
        <f t="shared" si="24"/>
        <v>0</v>
      </c>
      <c r="T810" s="32">
        <f t="shared" si="25"/>
        <v>0</v>
      </c>
    </row>
    <row r="811" spans="1:23" ht="14.4" x14ac:dyDescent="0.3">
      <c r="A811" s="44">
        <v>215</v>
      </c>
      <c r="B811" s="45" t="s">
        <v>950</v>
      </c>
      <c r="C811" s="46" t="s">
        <v>752</v>
      </c>
      <c r="D811" s="47">
        <v>1082588</v>
      </c>
      <c r="E811" s="87">
        <v>46599</v>
      </c>
      <c r="F811" s="49">
        <v>185730</v>
      </c>
      <c r="G811" s="45" t="s">
        <v>41</v>
      </c>
      <c r="H811" s="50">
        <v>0</v>
      </c>
      <c r="I811" s="49">
        <f>BHP[[#This Row],[qtySaldoAwalSem1]]*BHP[[#This Row],[hargaSatuan]]</f>
        <v>0</v>
      </c>
      <c r="J811" s="50">
        <v>100</v>
      </c>
      <c r="K811" s="51">
        <f>BHP[[#This Row],[qtyTerima2025]]*BHP[[#This Row],[hargaSatuan]]</f>
        <v>18573000</v>
      </c>
      <c r="L811" s="50">
        <v>0</v>
      </c>
      <c r="M811" s="51">
        <f>BHP[[#This Row],[qtyDist2025]]*BHP[[#This Row],[hargaSatuan]]</f>
        <v>0</v>
      </c>
      <c r="N811" s="50">
        <v>0</v>
      </c>
      <c r="O811" s="51">
        <v>0</v>
      </c>
      <c r="P811" s="50">
        <f>BHP[[#This Row],[qtySaldoAwalSem1]]+BHP[[#This Row],[qtyTerima2025]]-(BHP[[#This Row],[qtyDist2025]]+BHP[[#This Row],[qtyEd2025]])</f>
        <v>100</v>
      </c>
      <c r="Q811" s="52">
        <f>BHP[[#This Row],[qtySaldoAkhir2025]]*BHP[[#This Row],[hargaSatuan]]</f>
        <v>18573000</v>
      </c>
      <c r="S811" s="32">
        <f t="shared" si="24"/>
        <v>18573000</v>
      </c>
      <c r="T811" s="32">
        <f t="shared" si="25"/>
        <v>0</v>
      </c>
    </row>
    <row r="812" spans="1:23" ht="14.4" x14ac:dyDescent="0.3">
      <c r="A812" s="44">
        <v>216</v>
      </c>
      <c r="B812" s="45" t="s">
        <v>951</v>
      </c>
      <c r="C812" s="46" t="s">
        <v>752</v>
      </c>
      <c r="D812" s="47" t="s">
        <v>886</v>
      </c>
      <c r="E812" s="87">
        <v>47514</v>
      </c>
      <c r="F812" s="49">
        <v>1517</v>
      </c>
      <c r="G812" s="45" t="s">
        <v>40</v>
      </c>
      <c r="H812" s="50">
        <v>0</v>
      </c>
      <c r="I812" s="49">
        <f>BHP[[#This Row],[qtySaldoAwalSem1]]*BHP[[#This Row],[hargaSatuan]]</f>
        <v>0</v>
      </c>
      <c r="J812" s="50">
        <v>0</v>
      </c>
      <c r="K812" s="51">
        <f>BHP[[#This Row],[qtyTerima2025]]*BHP[[#This Row],[hargaSatuan]]</f>
        <v>0</v>
      </c>
      <c r="L812" s="50">
        <v>0</v>
      </c>
      <c r="M812" s="51">
        <f>BHP[[#This Row],[qtyDist2025]]*BHP[[#This Row],[hargaSatuan]]</f>
        <v>0</v>
      </c>
      <c r="N812" s="50">
        <v>0</v>
      </c>
      <c r="O812" s="51">
        <v>0</v>
      </c>
      <c r="P812" s="50">
        <f>BHP[[#This Row],[qtySaldoAwalSem1]]+BHP[[#This Row],[qtyTerima2025]]-(BHP[[#This Row],[qtyDist2025]]+BHP[[#This Row],[qtyEd2025]])</f>
        <v>0</v>
      </c>
      <c r="Q812" s="52">
        <f>BHP[[#This Row],[qtySaldoAkhir2025]]*BHP[[#This Row],[hargaSatuan]]</f>
        <v>0</v>
      </c>
      <c r="S812" s="32">
        <f t="shared" si="24"/>
        <v>0</v>
      </c>
      <c r="T812" s="32">
        <f t="shared" si="25"/>
        <v>0</v>
      </c>
    </row>
    <row r="813" spans="1:23" ht="14.4" x14ac:dyDescent="0.3">
      <c r="A813" s="44">
        <v>217</v>
      </c>
      <c r="B813" s="45" t="s">
        <v>952</v>
      </c>
      <c r="C813" s="46" t="s">
        <v>752</v>
      </c>
      <c r="D813" s="47" t="s">
        <v>886</v>
      </c>
      <c r="E813" s="87">
        <v>10959</v>
      </c>
      <c r="F813" s="49">
        <v>1517</v>
      </c>
      <c r="G813" s="45" t="s">
        <v>40</v>
      </c>
      <c r="H813" s="50">
        <v>0</v>
      </c>
      <c r="I813" s="49">
        <f>BHP[[#This Row],[qtySaldoAwalSem1]]*BHP[[#This Row],[hargaSatuan]]</f>
        <v>0</v>
      </c>
      <c r="J813" s="50">
        <v>17</v>
      </c>
      <c r="K813" s="51">
        <f>BHP[[#This Row],[qtyTerima2025]]*BHP[[#This Row],[hargaSatuan]]</f>
        <v>25789</v>
      </c>
      <c r="L813" s="50">
        <v>0</v>
      </c>
      <c r="M813" s="51">
        <f>BHP[[#This Row],[qtyDist2025]]*BHP[[#This Row],[hargaSatuan]]</f>
        <v>0</v>
      </c>
      <c r="N813" s="50">
        <v>0</v>
      </c>
      <c r="O813" s="51">
        <v>0</v>
      </c>
      <c r="P813" s="50">
        <f>BHP[[#This Row],[qtySaldoAwalSem1]]+BHP[[#This Row],[qtyTerima2025]]-(BHP[[#This Row],[qtyDist2025]]+BHP[[#This Row],[qtyEd2025]])</f>
        <v>17</v>
      </c>
      <c r="Q813" s="52">
        <f>BHP[[#This Row],[qtySaldoAkhir2025]]*BHP[[#This Row],[hargaSatuan]]</f>
        <v>25789</v>
      </c>
      <c r="S813" s="32">
        <f t="shared" si="24"/>
        <v>25789</v>
      </c>
      <c r="T813" s="32">
        <f t="shared" si="25"/>
        <v>0</v>
      </c>
    </row>
    <row r="814" spans="1:23" ht="14.4" x14ac:dyDescent="0.3">
      <c r="A814" s="44">
        <v>218</v>
      </c>
      <c r="B814" s="45" t="s">
        <v>952</v>
      </c>
      <c r="C814" s="46" t="s">
        <v>752</v>
      </c>
      <c r="D814" s="47">
        <v>251023889</v>
      </c>
      <c r="E814" s="87">
        <v>46997</v>
      </c>
      <c r="F814" s="49">
        <v>1439.8920000000001</v>
      </c>
      <c r="G814" s="45" t="s">
        <v>17</v>
      </c>
      <c r="H814" s="50">
        <v>300</v>
      </c>
      <c r="I814" s="49">
        <f>BHP[[#This Row],[qtySaldoAwalSem1]]*BHP[[#This Row],[hargaSatuan]]</f>
        <v>431967.60000000003</v>
      </c>
      <c r="J814" s="50">
        <v>0</v>
      </c>
      <c r="K814" s="51">
        <f>BHP[[#This Row],[qtyTerima2025]]*BHP[[#This Row],[hargaSatuan]]</f>
        <v>0</v>
      </c>
      <c r="L814" s="50">
        <v>300</v>
      </c>
      <c r="M814" s="51">
        <f>BHP[[#This Row],[qtyDist2025]]*BHP[[#This Row],[hargaSatuan]]</f>
        <v>431967.60000000003</v>
      </c>
      <c r="N814" s="50">
        <v>0</v>
      </c>
      <c r="O814" s="51">
        <f>BHP[[#This Row],[qtyEd2025]]*BHP[[#This Row],[hargaSatuan]]</f>
        <v>0</v>
      </c>
      <c r="P814" s="50">
        <f>BHP[[#This Row],[qtySaldoAwalSem1]]+BHP[[#This Row],[qtyTerima2025]]-(BHP[[#This Row],[qtyDist2025]]+BHP[[#This Row],[qtyEd2025]])</f>
        <v>0</v>
      </c>
      <c r="Q814" s="52">
        <f>BHP[[#This Row],[qtySaldoAkhir2025]]*BHP[[#This Row],[hargaSatuan]]</f>
        <v>0</v>
      </c>
      <c r="S814" s="32">
        <f t="shared" si="24"/>
        <v>0</v>
      </c>
      <c r="T814" s="32">
        <f t="shared" si="25"/>
        <v>0</v>
      </c>
      <c r="W814" s="53"/>
    </row>
    <row r="815" spans="1:23" ht="14.4" x14ac:dyDescent="0.3">
      <c r="A815" s="44">
        <v>219</v>
      </c>
      <c r="B815" s="45" t="s">
        <v>952</v>
      </c>
      <c r="C815" s="46" t="s">
        <v>752</v>
      </c>
      <c r="D815" s="47" t="s">
        <v>953</v>
      </c>
      <c r="E815" s="87">
        <v>11139</v>
      </c>
      <c r="F815" s="49">
        <v>1439.8920000000001</v>
      </c>
      <c r="G815" s="45" t="s">
        <v>41</v>
      </c>
      <c r="H815" s="50">
        <v>0</v>
      </c>
      <c r="I815" s="49">
        <f>BHP[[#This Row],[qtySaldoAwalSem1]]*BHP[[#This Row],[hargaSatuan]]</f>
        <v>0</v>
      </c>
      <c r="J815" s="65">
        <v>1000</v>
      </c>
      <c r="K815" s="51">
        <f>BHP[[#This Row],[qtyTerima2025]]*BHP[[#This Row],[hargaSatuan]]</f>
        <v>1439892</v>
      </c>
      <c r="L815" s="65">
        <v>1000</v>
      </c>
      <c r="M815" s="51">
        <f>BHP[[#This Row],[qtyDist2025]]*BHP[[#This Row],[hargaSatuan]]</f>
        <v>1439892</v>
      </c>
      <c r="N815" s="65">
        <v>0</v>
      </c>
      <c r="O815" s="97">
        <v>0</v>
      </c>
      <c r="P815" s="50">
        <f>BHP[[#This Row],[qtySaldoAwalSem1]]+BHP[[#This Row],[qtyTerima2025]]-(BHP[[#This Row],[qtyDist2025]]+BHP[[#This Row],[qtyEd2025]])</f>
        <v>0</v>
      </c>
      <c r="Q815" s="52">
        <f>BHP[[#This Row],[qtySaldoAkhir2025]]*BHP[[#This Row],[hargaSatuan]]</f>
        <v>0</v>
      </c>
      <c r="S815" s="32">
        <f t="shared" si="24"/>
        <v>0</v>
      </c>
      <c r="T815" s="32">
        <f t="shared" si="25"/>
        <v>0</v>
      </c>
    </row>
    <row r="816" spans="1:23" ht="14.4" x14ac:dyDescent="0.3">
      <c r="A816" s="98"/>
      <c r="B816" s="99" t="s">
        <v>954</v>
      </c>
      <c r="C816" s="100"/>
      <c r="D816" s="101"/>
      <c r="E816" s="102"/>
      <c r="F816" s="103"/>
      <c r="G816" s="99"/>
      <c r="H816" s="104"/>
      <c r="I816" s="103">
        <f>SUBTOTAL(9,Lab[nomSaldoAwalSem1])</f>
        <v>756872730.69497907</v>
      </c>
      <c r="J816" s="103"/>
      <c r="K816" s="103">
        <f>SUBTOTAL(9,Lab[nomTerima2025])</f>
        <v>3699266386.3195</v>
      </c>
      <c r="L816" s="103"/>
      <c r="M816" s="103">
        <f>SUBTOTAL(9,Lab[nomDist2025])</f>
        <v>3437386791.5141306</v>
      </c>
      <c r="N816" s="103"/>
      <c r="O816" s="103">
        <f>SUBTOTAL(9,Lab[nomEd2025])</f>
        <v>96242423</v>
      </c>
      <c r="P816" s="103"/>
      <c r="Q816" s="103">
        <f>SUBTOTAL(9,Lab[nomSaldoAkhir2025])</f>
        <v>922509902.50034845</v>
      </c>
      <c r="S816" s="32">
        <f t="shared" si="24"/>
        <v>922509902.50034809</v>
      </c>
      <c r="T816" s="32">
        <f t="shared" si="25"/>
        <v>3.5762786865234375E-7</v>
      </c>
    </row>
    <row r="817" spans="1:59" ht="14.4" x14ac:dyDescent="0.3">
      <c r="A817" s="35" t="s">
        <v>19</v>
      </c>
      <c r="B817" s="36" t="s">
        <v>20</v>
      </c>
      <c r="C817" s="37" t="s">
        <v>21</v>
      </c>
      <c r="D817" s="38" t="s">
        <v>22</v>
      </c>
      <c r="E817" s="39" t="s">
        <v>23</v>
      </c>
      <c r="F817" s="40" t="s">
        <v>24</v>
      </c>
      <c r="G817" s="36" t="s">
        <v>25</v>
      </c>
      <c r="H817" s="41" t="s">
        <v>26</v>
      </c>
      <c r="I817" s="40" t="s">
        <v>27</v>
      </c>
      <c r="J817" s="41" t="s">
        <v>28</v>
      </c>
      <c r="K817" s="66" t="s">
        <v>29</v>
      </c>
      <c r="L817" s="41" t="s">
        <v>30</v>
      </c>
      <c r="M817" s="66" t="s">
        <v>31</v>
      </c>
      <c r="N817" s="41" t="s">
        <v>32</v>
      </c>
      <c r="O817" s="66" t="s">
        <v>33</v>
      </c>
      <c r="P817" s="41" t="s">
        <v>34</v>
      </c>
      <c r="Q817" s="67" t="s">
        <v>35</v>
      </c>
      <c r="S817" s="32">
        <f t="shared" si="24"/>
        <v>0</v>
      </c>
      <c r="T817" s="32">
        <f t="shared" si="25"/>
        <v>0</v>
      </c>
    </row>
    <row r="818" spans="1:59" ht="14.4" x14ac:dyDescent="0.3">
      <c r="A818" s="44">
        <v>1</v>
      </c>
      <c r="B818" s="45" t="s">
        <v>955</v>
      </c>
      <c r="C818" s="46" t="s">
        <v>752</v>
      </c>
      <c r="D818" s="47" t="s">
        <v>956</v>
      </c>
      <c r="E818" s="48"/>
      <c r="F818" s="49">
        <v>207095.56</v>
      </c>
      <c r="G818" s="45" t="s">
        <v>40</v>
      </c>
      <c r="H818" s="50">
        <v>1</v>
      </c>
      <c r="I818" s="49">
        <f>Lab[[#This Row],[qtySaldoAwalSem1]]*Lab[[#This Row],[hargaSatuan]]</f>
        <v>207095.56</v>
      </c>
      <c r="J818" s="50">
        <v>0</v>
      </c>
      <c r="K818" s="51">
        <f>Lab[[#This Row],[qtyTerima2025]]*Lab[[#This Row],[hargaSatuan]]</f>
        <v>0</v>
      </c>
      <c r="L818" s="50">
        <v>1</v>
      </c>
      <c r="M818" s="51">
        <f>Lab[[#This Row],[qtyDist2025]]*Lab[[#This Row],[hargaSatuan]]</f>
        <v>207095.56</v>
      </c>
      <c r="N818" s="50">
        <v>0</v>
      </c>
      <c r="O818" s="51">
        <f>Lab[[#This Row],[qtyEd2025]]*Lab[[#This Row],[hargaSatuan]]</f>
        <v>0</v>
      </c>
      <c r="P818" s="50">
        <f>Lab[[#This Row],[qtySaldoAwalSem1]]+Lab[[#This Row],[qtyTerima2025]]-(Lab[[#This Row],[qtyDist2025]]+Lab[[#This Row],[qtyEd2025]])</f>
        <v>0</v>
      </c>
      <c r="Q818" s="52">
        <f>Lab[[#This Row],[qtySaldoAkhir2025]]*Lab[[#This Row],[hargaSatuan]]</f>
        <v>0</v>
      </c>
      <c r="R818" s="53"/>
      <c r="S818" s="32">
        <f t="shared" si="24"/>
        <v>0</v>
      </c>
      <c r="T818" s="32">
        <f t="shared" si="25"/>
        <v>0</v>
      </c>
      <c r="U818" s="53"/>
      <c r="V818" s="53"/>
      <c r="X818" s="53"/>
      <c r="Y818" s="53"/>
      <c r="Z818" s="53"/>
      <c r="AA818" s="53"/>
      <c r="AB818" s="53"/>
      <c r="AC818" s="53"/>
      <c r="AD818" s="53"/>
      <c r="AE818" s="53"/>
      <c r="AF818" s="53"/>
      <c r="AG818" s="53"/>
      <c r="AH818" s="53"/>
      <c r="AI818" s="53"/>
      <c r="AJ818" s="53"/>
      <c r="AK818" s="53"/>
      <c r="AL818" s="53"/>
      <c r="AM818" s="53"/>
      <c r="AN818" s="53"/>
      <c r="AO818" s="53"/>
      <c r="AP818" s="53"/>
      <c r="AQ818" s="53"/>
      <c r="AR818" s="53"/>
      <c r="AS818" s="53"/>
      <c r="AT818" s="53"/>
      <c r="AU818" s="53"/>
      <c r="AV818" s="53"/>
      <c r="AW818" s="53"/>
      <c r="AX818" s="53"/>
      <c r="AY818" s="53"/>
      <c r="AZ818" s="53"/>
      <c r="BA818" s="53"/>
      <c r="BB818" s="53"/>
      <c r="BC818" s="53"/>
      <c r="BD818" s="53"/>
      <c r="BE818" s="53"/>
      <c r="BF818" s="53"/>
      <c r="BG818" s="53"/>
    </row>
    <row r="819" spans="1:59" ht="14.4" x14ac:dyDescent="0.3">
      <c r="A819" s="44">
        <v>2</v>
      </c>
      <c r="B819" s="45" t="s">
        <v>957</v>
      </c>
      <c r="C819" s="46" t="s">
        <v>752</v>
      </c>
      <c r="D819" s="47" t="s">
        <v>958</v>
      </c>
      <c r="E819" s="48">
        <v>46353</v>
      </c>
      <c r="F819" s="49">
        <v>140</v>
      </c>
      <c r="G819" s="45" t="s">
        <v>54</v>
      </c>
      <c r="H819" s="50">
        <v>340500</v>
      </c>
      <c r="I819" s="49">
        <f>Lab[[#This Row],[qtySaldoAwalSem1]]*Lab[[#This Row],[hargaSatuan]]</f>
        <v>47670000</v>
      </c>
      <c r="J819" s="50">
        <v>0</v>
      </c>
      <c r="K819" s="51">
        <f>Lab[[#This Row],[qtyTerima2025]]*Lab[[#This Row],[hargaSatuan]]</f>
        <v>0</v>
      </c>
      <c r="L819" s="50">
        <v>340500</v>
      </c>
      <c r="M819" s="51">
        <f>Lab[[#This Row],[qtyDist2025]]*Lab[[#This Row],[hargaSatuan]]</f>
        <v>47670000</v>
      </c>
      <c r="N819" s="50">
        <v>0</v>
      </c>
      <c r="O819" s="51">
        <f>Lab[[#This Row],[qtyEd2025]]*Lab[[#This Row],[hargaSatuan]]</f>
        <v>0</v>
      </c>
      <c r="P819" s="50">
        <f>Lab[[#This Row],[qtySaldoAwalSem1]]+Lab[[#This Row],[qtyTerima2025]]-(Lab[[#This Row],[qtyDist2025]]+Lab[[#This Row],[qtyEd2025]])</f>
        <v>0</v>
      </c>
      <c r="Q819" s="52">
        <f>Lab[[#This Row],[qtySaldoAkhir2025]]*Lab[[#This Row],[hargaSatuan]]</f>
        <v>0</v>
      </c>
      <c r="S819" s="32">
        <f t="shared" si="24"/>
        <v>0</v>
      </c>
      <c r="T819" s="32">
        <f t="shared" si="25"/>
        <v>0</v>
      </c>
    </row>
    <row r="820" spans="1:59" ht="14.4" x14ac:dyDescent="0.3">
      <c r="A820" s="76">
        <v>3</v>
      </c>
      <c r="B820" s="45" t="s">
        <v>957</v>
      </c>
      <c r="C820" s="46" t="s">
        <v>752</v>
      </c>
      <c r="D820" s="47">
        <v>230124</v>
      </c>
      <c r="E820" s="48">
        <v>46050</v>
      </c>
      <c r="F820" s="49">
        <v>199.99621689785599</v>
      </c>
      <c r="G820" s="45" t="s">
        <v>54</v>
      </c>
      <c r="H820" s="50">
        <v>79300</v>
      </c>
      <c r="I820" s="49">
        <f>Lab[[#This Row],[qtySaldoAwalSem1]]*Lab[[#This Row],[hargaSatuan]]</f>
        <v>15859699.99999998</v>
      </c>
      <c r="J820" s="50">
        <v>0</v>
      </c>
      <c r="K820" s="51">
        <f>Lab[[#This Row],[qtyTerima2025]]*Lab[[#This Row],[hargaSatuan]]</f>
        <v>0</v>
      </c>
      <c r="L820" s="50">
        <v>200</v>
      </c>
      <c r="M820" s="51">
        <f>Lab[[#This Row],[qtyDist2025]]*Lab[[#This Row],[hargaSatuan]]</f>
        <v>39999.243379571199</v>
      </c>
      <c r="N820" s="50">
        <v>0</v>
      </c>
      <c r="O820" s="51">
        <f>Lab[[#This Row],[qtyEd2025]]*Lab[[#This Row],[hargaSatuan]]</f>
        <v>0</v>
      </c>
      <c r="P820" s="50">
        <f>Lab[[#This Row],[qtySaldoAwalSem1]]+Lab[[#This Row],[qtyTerima2025]]-(Lab[[#This Row],[qtyDist2025]]+Lab[[#This Row],[qtyEd2025]])</f>
        <v>79100</v>
      </c>
      <c r="Q820" s="52">
        <f>Lab[[#This Row],[qtySaldoAkhir2025]]*Lab[[#This Row],[hargaSatuan]]</f>
        <v>15819700.756620409</v>
      </c>
      <c r="S820" s="32">
        <f t="shared" si="24"/>
        <v>15819700.756620409</v>
      </c>
      <c r="T820" s="32">
        <f t="shared" si="25"/>
        <v>0</v>
      </c>
    </row>
    <row r="821" spans="1:59" ht="14.4" x14ac:dyDescent="0.3">
      <c r="A821" s="44">
        <v>4</v>
      </c>
      <c r="B821" s="45" t="s">
        <v>957</v>
      </c>
      <c r="C821" s="46" t="s">
        <v>752</v>
      </c>
      <c r="D821" s="47" t="s">
        <v>959</v>
      </c>
      <c r="E821" s="48">
        <v>46109</v>
      </c>
      <c r="F821" s="49">
        <v>224.54</v>
      </c>
      <c r="G821" s="45" t="s">
        <v>54</v>
      </c>
      <c r="H821" s="50">
        <v>84400</v>
      </c>
      <c r="I821" s="49">
        <f>Lab[[#This Row],[qtySaldoAwalSem1]]*Lab[[#This Row],[hargaSatuan]]</f>
        <v>18951176</v>
      </c>
      <c r="J821" s="50">
        <v>0</v>
      </c>
      <c r="K821" s="51">
        <f>Lab[[#This Row],[qtyTerima2025]]*Lab[[#This Row],[hargaSatuan]]</f>
        <v>0</v>
      </c>
      <c r="L821" s="50">
        <v>0</v>
      </c>
      <c r="M821" s="51">
        <f>Lab[[#This Row],[qtyDist2025]]*Lab[[#This Row],[hargaSatuan]]</f>
        <v>0</v>
      </c>
      <c r="N821" s="50">
        <v>0</v>
      </c>
      <c r="O821" s="51">
        <f>Lab[[#This Row],[qtyEd2025]]*Lab[[#This Row],[hargaSatuan]]</f>
        <v>0</v>
      </c>
      <c r="P821" s="50">
        <f>Lab[[#This Row],[qtySaldoAwalSem1]]+Lab[[#This Row],[qtyTerima2025]]-(Lab[[#This Row],[qtyDist2025]]+Lab[[#This Row],[qtyEd2025]])</f>
        <v>84400</v>
      </c>
      <c r="Q821" s="52">
        <f>Lab[[#This Row],[qtySaldoAkhir2025]]*Lab[[#This Row],[hargaSatuan]]</f>
        <v>18951176</v>
      </c>
      <c r="S821" s="32">
        <f t="shared" si="24"/>
        <v>18951176</v>
      </c>
      <c r="T821" s="32">
        <f t="shared" si="25"/>
        <v>0</v>
      </c>
    </row>
    <row r="822" spans="1:59" ht="14.4" x14ac:dyDescent="0.3">
      <c r="A822" s="76">
        <v>5</v>
      </c>
      <c r="B822" s="45" t="s">
        <v>957</v>
      </c>
      <c r="C822" s="46" t="s">
        <v>752</v>
      </c>
      <c r="D822" s="47" t="s">
        <v>960</v>
      </c>
      <c r="E822" s="48">
        <v>46354</v>
      </c>
      <c r="F822" s="49">
        <v>170.8</v>
      </c>
      <c r="G822" s="45" t="s">
        <v>54</v>
      </c>
      <c r="H822" s="50">
        <v>0</v>
      </c>
      <c r="I822" s="49">
        <f>Lab[[#This Row],[qtySaldoAwalSem1]]*Lab[[#This Row],[hargaSatuan]]</f>
        <v>0</v>
      </c>
      <c r="J822" s="50">
        <v>3200</v>
      </c>
      <c r="K822" s="51">
        <f>Lab[[#This Row],[qtyTerima2025]]*Lab[[#This Row],[hargaSatuan]]</f>
        <v>546560</v>
      </c>
      <c r="L822" s="50">
        <v>0</v>
      </c>
      <c r="M822" s="51">
        <f>Lab[[#This Row],[qtyDist2025]]*Lab[[#This Row],[hargaSatuan]]</f>
        <v>0</v>
      </c>
      <c r="N822" s="50">
        <v>0</v>
      </c>
      <c r="O822" s="51">
        <f>Lab[[#This Row],[qtyEd2025]]*Lab[[#This Row],[hargaSatuan]]</f>
        <v>0</v>
      </c>
      <c r="P822" s="50">
        <f>Lab[[#This Row],[qtySaldoAwalSem1]]+Lab[[#This Row],[qtyTerima2025]]-(Lab[[#This Row],[qtyDist2025]]+Lab[[#This Row],[qtyEd2025]])</f>
        <v>3200</v>
      </c>
      <c r="Q822" s="52">
        <f>Lab[[#This Row],[qtySaldoAkhir2025]]*Lab[[#This Row],[hargaSatuan]]</f>
        <v>546560</v>
      </c>
      <c r="S822" s="32">
        <f t="shared" si="24"/>
        <v>546560</v>
      </c>
      <c r="T822" s="32">
        <f t="shared" si="25"/>
        <v>0</v>
      </c>
      <c r="W822" s="74"/>
    </row>
    <row r="823" spans="1:59" ht="14.4" x14ac:dyDescent="0.3">
      <c r="A823" s="44">
        <v>6</v>
      </c>
      <c r="B823" s="45" t="s">
        <v>961</v>
      </c>
      <c r="C823" s="46" t="s">
        <v>962</v>
      </c>
      <c r="D823" s="47" t="s">
        <v>963</v>
      </c>
      <c r="E823" s="48">
        <v>46294</v>
      </c>
      <c r="F823" s="49">
        <v>188.7</v>
      </c>
      <c r="G823" s="45" t="s">
        <v>36</v>
      </c>
      <c r="H823" s="50">
        <v>0</v>
      </c>
      <c r="I823" s="49">
        <f>Lab[[#This Row],[qtySaldoAwalSem1]]*Lab[[#This Row],[hargaSatuan]]</f>
        <v>0</v>
      </c>
      <c r="J823" s="50">
        <v>37100</v>
      </c>
      <c r="K823" s="51">
        <f>Lab[[#This Row],[qtyTerima2025]]*Lab[[#This Row],[hargaSatuan]]</f>
        <v>7000770</v>
      </c>
      <c r="L823" s="50">
        <v>0</v>
      </c>
      <c r="M823" s="51">
        <f>Lab[[#This Row],[qtyDist2025]]*Lab[[#This Row],[hargaSatuan]]</f>
        <v>0</v>
      </c>
      <c r="N823" s="50">
        <v>0</v>
      </c>
      <c r="O823" s="51">
        <f>Lab[[#This Row],[qtyEd2025]]*Lab[[#This Row],[hargaSatuan]]</f>
        <v>0</v>
      </c>
      <c r="P823" s="50">
        <f>Lab[[#This Row],[qtySaldoAwalSem1]]+Lab[[#This Row],[qtyTerima2025]]-(Lab[[#This Row],[qtyDist2025]]+Lab[[#This Row],[qtyEd2025]])</f>
        <v>37100</v>
      </c>
      <c r="Q823" s="52">
        <f>Lab[[#This Row],[qtySaldoAkhir2025]]*Lab[[#This Row],[hargaSatuan]]</f>
        <v>7000770</v>
      </c>
      <c r="S823" s="32">
        <f t="shared" si="24"/>
        <v>7000770</v>
      </c>
      <c r="T823" s="32">
        <f t="shared" si="25"/>
        <v>0</v>
      </c>
      <c r="W823" s="74"/>
    </row>
    <row r="824" spans="1:59" ht="14.4" x14ac:dyDescent="0.3">
      <c r="A824" s="76">
        <v>7</v>
      </c>
      <c r="B824" s="45" t="s">
        <v>964</v>
      </c>
      <c r="C824" s="46" t="s">
        <v>120</v>
      </c>
      <c r="D824" s="47">
        <v>1001441658</v>
      </c>
      <c r="E824" s="48">
        <v>46079</v>
      </c>
      <c r="F824" s="49">
        <v>3945000</v>
      </c>
      <c r="G824" s="45" t="s">
        <v>40</v>
      </c>
      <c r="H824" s="50">
        <v>0</v>
      </c>
      <c r="I824" s="49">
        <f>Lab[[#This Row],[qtySaldoAwalSem1]]*Lab[[#This Row],[hargaSatuan]]</f>
        <v>0</v>
      </c>
      <c r="J824" s="50">
        <v>8</v>
      </c>
      <c r="K824" s="51">
        <f>Lab[[#This Row],[qtyTerima2025]]*Lab[[#This Row],[hargaSatuan]]</f>
        <v>31560000</v>
      </c>
      <c r="L824" s="50">
        <v>8</v>
      </c>
      <c r="M824" s="51">
        <f>Lab[[#This Row],[qtyDist2025]]*Lab[[#This Row],[hargaSatuan]]</f>
        <v>31560000</v>
      </c>
      <c r="N824" s="50">
        <v>0</v>
      </c>
      <c r="O824" s="51">
        <f>Lab[[#This Row],[qtyEd2025]]*Lab[[#This Row],[hargaSatuan]]</f>
        <v>0</v>
      </c>
      <c r="P824" s="50">
        <f>Lab[[#This Row],[qtySaldoAwalSem1]]+Lab[[#This Row],[qtyTerima2025]]-(Lab[[#This Row],[qtyDist2025]]+Lab[[#This Row],[qtyEd2025]])</f>
        <v>0</v>
      </c>
      <c r="Q824" s="52">
        <f>Lab[[#This Row],[qtySaldoAkhir2025]]*Lab[[#This Row],[hargaSatuan]]</f>
        <v>0</v>
      </c>
      <c r="S824" s="32">
        <f t="shared" si="24"/>
        <v>0</v>
      </c>
      <c r="T824" s="32">
        <f t="shared" si="25"/>
        <v>0</v>
      </c>
      <c r="W824" s="74"/>
    </row>
    <row r="825" spans="1:59" ht="14.4" x14ac:dyDescent="0.3">
      <c r="A825" s="44">
        <v>8</v>
      </c>
      <c r="B825" s="45" t="s">
        <v>964</v>
      </c>
      <c r="C825" s="46" t="s">
        <v>120</v>
      </c>
      <c r="D825" s="47">
        <v>1001452901</v>
      </c>
      <c r="E825" s="48">
        <v>46138</v>
      </c>
      <c r="F825" s="49">
        <v>3945000</v>
      </c>
      <c r="G825" s="45" t="s">
        <v>40</v>
      </c>
      <c r="H825" s="50">
        <v>0</v>
      </c>
      <c r="I825" s="49">
        <f>Lab[[#This Row],[qtySaldoAwalSem1]]*Lab[[#This Row],[hargaSatuan]]</f>
        <v>0</v>
      </c>
      <c r="J825" s="75">
        <v>22</v>
      </c>
      <c r="K825" s="51">
        <f>Lab[[#This Row],[qtyTerima2025]]*Lab[[#This Row],[hargaSatuan]]</f>
        <v>86790000</v>
      </c>
      <c r="L825" s="50">
        <v>22</v>
      </c>
      <c r="M825" s="51">
        <f>Lab[[#This Row],[qtyDist2025]]*Lab[[#This Row],[hargaSatuan]]</f>
        <v>86790000</v>
      </c>
      <c r="N825" s="50">
        <v>0</v>
      </c>
      <c r="O825" s="51">
        <f>Lab[[#This Row],[qtyEd2025]]*Lab[[#This Row],[hargaSatuan]]</f>
        <v>0</v>
      </c>
      <c r="P825" s="50">
        <f>Lab[[#This Row],[qtySaldoAwalSem1]]+Lab[[#This Row],[qtyTerima2025]]-(Lab[[#This Row],[qtyDist2025]]+Lab[[#This Row],[qtyEd2025]])</f>
        <v>0</v>
      </c>
      <c r="Q825" s="52">
        <f>Lab[[#This Row],[qtySaldoAkhir2025]]*Lab[[#This Row],[hargaSatuan]]</f>
        <v>0</v>
      </c>
      <c r="S825" s="32">
        <f t="shared" si="24"/>
        <v>0</v>
      </c>
      <c r="T825" s="32">
        <f t="shared" si="25"/>
        <v>0</v>
      </c>
    </row>
    <row r="826" spans="1:59" ht="14.4" x14ac:dyDescent="0.3">
      <c r="A826" s="76">
        <v>9</v>
      </c>
      <c r="B826" s="77" t="s">
        <v>965</v>
      </c>
      <c r="C826" s="78" t="s">
        <v>962</v>
      </c>
      <c r="D826" s="79">
        <v>1001454035</v>
      </c>
      <c r="E826" s="80">
        <v>46138</v>
      </c>
      <c r="F826" s="81">
        <v>142644</v>
      </c>
      <c r="G826" s="77" t="s">
        <v>40</v>
      </c>
      <c r="H826" s="82">
        <v>0</v>
      </c>
      <c r="I826" s="49">
        <f>Lab[[#This Row],[qtySaldoAwalSem1]]*Lab[[#This Row],[hargaSatuan]]</f>
        <v>0</v>
      </c>
      <c r="J826" s="82">
        <v>400</v>
      </c>
      <c r="K826" s="51">
        <f>Lab[[#This Row],[qtyTerima2025]]*Lab[[#This Row],[hargaSatuan]]</f>
        <v>57057600</v>
      </c>
      <c r="L826" s="82">
        <v>400</v>
      </c>
      <c r="M826" s="51">
        <f>Lab[[#This Row],[qtyDist2025]]*Lab[[#This Row],[hargaSatuan]]</f>
        <v>57057600</v>
      </c>
      <c r="N826" s="82">
        <v>0</v>
      </c>
      <c r="O826" s="51">
        <f>Lab[[#This Row],[qtyEd2025]]*Lab[[#This Row],[hargaSatuan]]</f>
        <v>0</v>
      </c>
      <c r="P826" s="50">
        <f>Lab[[#This Row],[qtySaldoAwalSem1]]+Lab[[#This Row],[qtyTerima2025]]-(Lab[[#This Row],[qtyDist2025]]+Lab[[#This Row],[qtyEd2025]])</f>
        <v>0</v>
      </c>
      <c r="Q826" s="52">
        <f>Lab[[#This Row],[qtySaldoAkhir2025]]*Lab[[#This Row],[hargaSatuan]]</f>
        <v>0</v>
      </c>
      <c r="R826" s="74"/>
      <c r="S826" s="32">
        <f t="shared" si="24"/>
        <v>0</v>
      </c>
      <c r="T826" s="32">
        <f t="shared" si="25"/>
        <v>0</v>
      </c>
      <c r="U826" s="74"/>
      <c r="V826" s="74"/>
      <c r="W826" s="74"/>
      <c r="X826" s="74"/>
      <c r="Y826" s="74"/>
      <c r="Z826" s="74"/>
      <c r="AA826" s="74"/>
      <c r="AB826" s="74"/>
      <c r="AC826" s="74"/>
      <c r="AD826" s="74"/>
      <c r="AE826" s="74"/>
      <c r="AF826" s="74"/>
      <c r="AG826" s="74"/>
      <c r="AH826" s="74"/>
      <c r="AI826" s="74"/>
      <c r="AJ826" s="74"/>
      <c r="AK826" s="74"/>
      <c r="AL826" s="74"/>
      <c r="AM826" s="74"/>
      <c r="AN826" s="74"/>
      <c r="AO826" s="74"/>
      <c r="AP826" s="74"/>
      <c r="AQ826" s="74"/>
      <c r="AR826" s="74"/>
      <c r="AS826" s="74"/>
      <c r="AT826" s="74"/>
      <c r="AU826" s="74"/>
      <c r="AV826" s="74"/>
      <c r="AW826" s="74"/>
      <c r="AX826" s="74"/>
      <c r="AY826" s="74"/>
      <c r="AZ826" s="74"/>
      <c r="BA826" s="74"/>
      <c r="BB826" s="74"/>
      <c r="BC826" s="74"/>
      <c r="BD826" s="74"/>
      <c r="BE826" s="74"/>
      <c r="BF826" s="74"/>
      <c r="BG826" s="74"/>
    </row>
    <row r="827" spans="1:59" ht="14.4" x14ac:dyDescent="0.3">
      <c r="A827" s="44">
        <v>10</v>
      </c>
      <c r="B827" s="77" t="s">
        <v>965</v>
      </c>
      <c r="C827" s="78" t="s">
        <v>962</v>
      </c>
      <c r="D827" s="79">
        <v>1001456540</v>
      </c>
      <c r="E827" s="80" t="s">
        <v>966</v>
      </c>
      <c r="F827" s="81">
        <v>142644</v>
      </c>
      <c r="G827" s="77" t="s">
        <v>40</v>
      </c>
      <c r="H827" s="82">
        <v>0</v>
      </c>
      <c r="I827" s="49">
        <f>Lab[[#This Row],[qtySaldoAwalSem1]]*Lab[[#This Row],[hargaSatuan]]</f>
        <v>0</v>
      </c>
      <c r="J827" s="82">
        <v>400</v>
      </c>
      <c r="K827" s="51">
        <f>Lab[[#This Row],[qtyTerima2025]]*Lab[[#This Row],[hargaSatuan]]</f>
        <v>57057600</v>
      </c>
      <c r="L827" s="82">
        <v>400</v>
      </c>
      <c r="M827" s="51">
        <f>Lab[[#This Row],[qtyDist2025]]*Lab[[#This Row],[hargaSatuan]]</f>
        <v>57057600</v>
      </c>
      <c r="N827" s="82">
        <v>0</v>
      </c>
      <c r="O827" s="51">
        <f>Lab[[#This Row],[qtyEd2025]]*Lab[[#This Row],[hargaSatuan]]</f>
        <v>0</v>
      </c>
      <c r="P827" s="50">
        <f>Lab[[#This Row],[qtySaldoAwalSem1]]+Lab[[#This Row],[qtyTerima2025]]-(Lab[[#This Row],[qtyDist2025]]+Lab[[#This Row],[qtyEd2025]])</f>
        <v>0</v>
      </c>
      <c r="Q827" s="52">
        <f>Lab[[#This Row],[qtySaldoAkhir2025]]*Lab[[#This Row],[hargaSatuan]]</f>
        <v>0</v>
      </c>
      <c r="R827" s="74"/>
      <c r="S827" s="32">
        <f t="shared" si="24"/>
        <v>0</v>
      </c>
      <c r="T827" s="32">
        <f t="shared" si="25"/>
        <v>0</v>
      </c>
      <c r="U827" s="74"/>
      <c r="V827" s="74"/>
      <c r="W827" s="74"/>
      <c r="X827" s="74"/>
      <c r="Y827" s="74"/>
      <c r="Z827" s="74"/>
      <c r="AA827" s="74"/>
      <c r="AB827" s="74"/>
      <c r="AC827" s="74"/>
      <c r="AD827" s="74"/>
      <c r="AE827" s="74"/>
      <c r="AF827" s="74"/>
      <c r="AG827" s="74"/>
      <c r="AH827" s="74"/>
      <c r="AI827" s="74"/>
      <c r="AJ827" s="74"/>
      <c r="AK827" s="74"/>
      <c r="AL827" s="74"/>
      <c r="AM827" s="74"/>
      <c r="AN827" s="74"/>
      <c r="AO827" s="74"/>
      <c r="AP827" s="74"/>
      <c r="AQ827" s="74"/>
      <c r="AR827" s="74"/>
      <c r="AS827" s="74"/>
      <c r="AT827" s="74"/>
      <c r="AU827" s="74"/>
      <c r="AV827" s="74"/>
      <c r="AW827" s="74"/>
      <c r="AX827" s="74"/>
      <c r="AY827" s="74"/>
      <c r="AZ827" s="74"/>
      <c r="BA827" s="74"/>
      <c r="BB827" s="74"/>
      <c r="BC827" s="74"/>
      <c r="BD827" s="74"/>
      <c r="BE827" s="74"/>
      <c r="BF827" s="74"/>
      <c r="BG827" s="74"/>
    </row>
    <row r="828" spans="1:59" ht="14.4" x14ac:dyDescent="0.3">
      <c r="A828" s="76">
        <v>11</v>
      </c>
      <c r="B828" s="77" t="s">
        <v>967</v>
      </c>
      <c r="C828" s="78" t="s">
        <v>968</v>
      </c>
      <c r="D828" s="79">
        <v>1001487117</v>
      </c>
      <c r="E828" s="80">
        <v>46352</v>
      </c>
      <c r="F828" s="81">
        <v>192094</v>
      </c>
      <c r="G828" s="77" t="s">
        <v>54</v>
      </c>
      <c r="H828" s="82">
        <v>0</v>
      </c>
      <c r="I828" s="49">
        <f>Lab[[#This Row],[qtySaldoAwalSem1]]*Lab[[#This Row],[hargaSatuan]]</f>
        <v>0</v>
      </c>
      <c r="J828" s="82">
        <v>3500</v>
      </c>
      <c r="K828" s="51">
        <f>Lab[[#This Row],[qtyTerima2025]]*Lab[[#This Row],[hargaSatuan]]</f>
        <v>672329000</v>
      </c>
      <c r="L828" s="82">
        <v>2500</v>
      </c>
      <c r="M828" s="51">
        <f>Lab[[#This Row],[qtyDist2025]]*Lab[[#This Row],[hargaSatuan]]</f>
        <v>480235000</v>
      </c>
      <c r="N828" s="82">
        <v>0</v>
      </c>
      <c r="O828" s="51">
        <f>Lab[[#This Row],[qtyEd2025]]*Lab[[#This Row],[hargaSatuan]]</f>
        <v>0</v>
      </c>
      <c r="P828" s="50">
        <f>Lab[[#This Row],[qtySaldoAwalSem1]]+Lab[[#This Row],[qtyTerima2025]]-(Lab[[#This Row],[qtyDist2025]]+Lab[[#This Row],[qtyEd2025]])</f>
        <v>1000</v>
      </c>
      <c r="Q828" s="52">
        <f>Lab[[#This Row],[qtySaldoAkhir2025]]*Lab[[#This Row],[hargaSatuan]]</f>
        <v>192094000</v>
      </c>
      <c r="R828" s="74"/>
      <c r="S828" s="32">
        <f t="shared" si="24"/>
        <v>192094000</v>
      </c>
      <c r="T828" s="32">
        <f t="shared" si="25"/>
        <v>0</v>
      </c>
      <c r="U828" s="74"/>
      <c r="V828" s="74"/>
      <c r="W828" s="74"/>
      <c r="X828" s="74"/>
      <c r="Y828" s="74"/>
      <c r="Z828" s="74"/>
      <c r="AA828" s="74"/>
      <c r="AB828" s="74"/>
      <c r="AC828" s="74"/>
      <c r="AD828" s="74"/>
      <c r="AE828" s="74"/>
      <c r="AF828" s="74"/>
      <c r="AG828" s="74"/>
      <c r="AH828" s="74"/>
      <c r="AI828" s="74"/>
      <c r="AJ828" s="74"/>
      <c r="AK828" s="74"/>
      <c r="AL828" s="74"/>
      <c r="AM828" s="74"/>
      <c r="AN828" s="74"/>
      <c r="AO828" s="74"/>
      <c r="AP828" s="74"/>
      <c r="AQ828" s="74"/>
      <c r="AR828" s="74"/>
      <c r="AS828" s="74"/>
      <c r="AT828" s="74"/>
      <c r="AU828" s="74"/>
      <c r="AV828" s="74"/>
      <c r="AW828" s="74"/>
      <c r="AX828" s="74"/>
      <c r="AY828" s="74"/>
      <c r="AZ828" s="74"/>
      <c r="BA828" s="74"/>
      <c r="BB828" s="74"/>
      <c r="BC828" s="74"/>
      <c r="BD828" s="74"/>
      <c r="BE828" s="74"/>
      <c r="BF828" s="74"/>
      <c r="BG828" s="74"/>
    </row>
    <row r="829" spans="1:59" ht="14.4" x14ac:dyDescent="0.3">
      <c r="A829" s="44">
        <v>12</v>
      </c>
      <c r="B829" s="45" t="s">
        <v>969</v>
      </c>
      <c r="C829" s="46" t="s">
        <v>349</v>
      </c>
      <c r="D829" s="47" t="s">
        <v>970</v>
      </c>
      <c r="E829" s="105">
        <v>45962</v>
      </c>
      <c r="F829" s="49">
        <v>1315600</v>
      </c>
      <c r="G829" s="45" t="s">
        <v>41</v>
      </c>
      <c r="H829" s="50">
        <v>0</v>
      </c>
      <c r="I829" s="49">
        <f>Lab[[#This Row],[qtySaldoAwalSem1]]*Lab[[#This Row],[hargaSatuan]]</f>
        <v>0</v>
      </c>
      <c r="J829" s="50">
        <v>1</v>
      </c>
      <c r="K829" s="51">
        <f>Lab[[#This Row],[qtyTerima2025]]*Lab[[#This Row],[hargaSatuan]]</f>
        <v>1315600</v>
      </c>
      <c r="L829" s="50">
        <v>1</v>
      </c>
      <c r="M829" s="51">
        <f>Lab[[#This Row],[qtyDist2025]]*Lab[[#This Row],[hargaSatuan]]</f>
        <v>1315600</v>
      </c>
      <c r="N829" s="50">
        <v>0</v>
      </c>
      <c r="O829" s="51">
        <f>Lab[[#This Row],[qtyEd2025]]*Lab[[#This Row],[hargaSatuan]]</f>
        <v>0</v>
      </c>
      <c r="P829" s="50">
        <f>Lab[[#This Row],[qtySaldoAwalSem1]]+Lab[[#This Row],[qtyTerima2025]]-(Lab[[#This Row],[qtyDist2025]]+Lab[[#This Row],[qtyEd2025]])</f>
        <v>0</v>
      </c>
      <c r="Q829" s="52">
        <f>Lab[[#This Row],[qtySaldoAkhir2025]]*Lab[[#This Row],[hargaSatuan]]</f>
        <v>0</v>
      </c>
      <c r="S829" s="32">
        <f t="shared" si="24"/>
        <v>0</v>
      </c>
      <c r="T829" s="32">
        <f t="shared" si="25"/>
        <v>0</v>
      </c>
      <c r="W829" s="74"/>
    </row>
    <row r="830" spans="1:59" ht="14.4" x14ac:dyDescent="0.3">
      <c r="A830" s="76">
        <v>13</v>
      </c>
      <c r="B830" s="77" t="s">
        <v>969</v>
      </c>
      <c r="C830" s="78" t="s">
        <v>349</v>
      </c>
      <c r="D830" s="79" t="s">
        <v>971</v>
      </c>
      <c r="E830" s="80">
        <v>46048</v>
      </c>
      <c r="F830" s="81">
        <v>1315600</v>
      </c>
      <c r="G830" s="77" t="s">
        <v>41</v>
      </c>
      <c r="H830" s="82">
        <v>0</v>
      </c>
      <c r="I830" s="49">
        <f>Lab[[#This Row],[qtySaldoAwalSem1]]*Lab[[#This Row],[hargaSatuan]]</f>
        <v>0</v>
      </c>
      <c r="J830" s="82">
        <v>11</v>
      </c>
      <c r="K830" s="51">
        <f>Lab[[#This Row],[qtyTerima2025]]*Lab[[#This Row],[hargaSatuan]]</f>
        <v>14471600</v>
      </c>
      <c r="L830" s="82">
        <v>11</v>
      </c>
      <c r="M830" s="51">
        <f>Lab[[#This Row],[qtyDist2025]]*Lab[[#This Row],[hargaSatuan]]</f>
        <v>14471600</v>
      </c>
      <c r="N830" s="82">
        <v>0</v>
      </c>
      <c r="O830" s="51">
        <f>Lab[[#This Row],[qtyEd2025]]*Lab[[#This Row],[hargaSatuan]]</f>
        <v>0</v>
      </c>
      <c r="P830" s="50">
        <f>Lab[[#This Row],[qtySaldoAwalSem1]]+Lab[[#This Row],[qtyTerima2025]]-(Lab[[#This Row],[qtyDist2025]]+Lab[[#This Row],[qtyEd2025]])</f>
        <v>0</v>
      </c>
      <c r="Q830" s="52">
        <f>Lab[[#This Row],[qtySaldoAkhir2025]]*Lab[[#This Row],[hargaSatuan]]</f>
        <v>0</v>
      </c>
      <c r="R830" s="74"/>
      <c r="S830" s="32">
        <f t="shared" si="24"/>
        <v>0</v>
      </c>
      <c r="T830" s="32">
        <f t="shared" si="25"/>
        <v>0</v>
      </c>
      <c r="U830" s="74"/>
      <c r="V830" s="74"/>
      <c r="W830" s="74"/>
      <c r="X830" s="74"/>
      <c r="Y830" s="74"/>
      <c r="Z830" s="74"/>
      <c r="AA830" s="74"/>
      <c r="AB830" s="74"/>
      <c r="AC830" s="74"/>
      <c r="AD830" s="74"/>
      <c r="AE830" s="74"/>
      <c r="AF830" s="74"/>
      <c r="AG830" s="74"/>
      <c r="AH830" s="74"/>
      <c r="AI830" s="74"/>
      <c r="AJ830" s="74"/>
      <c r="AK830" s="74"/>
      <c r="AL830" s="74"/>
      <c r="AM830" s="74"/>
      <c r="AN830" s="74"/>
      <c r="AO830" s="74"/>
      <c r="AP830" s="74"/>
      <c r="AQ830" s="74"/>
      <c r="AR830" s="74"/>
      <c r="AS830" s="74"/>
      <c r="AT830" s="74"/>
      <c r="AU830" s="74"/>
      <c r="AV830" s="74"/>
      <c r="AW830" s="74"/>
      <c r="AX830" s="74"/>
      <c r="AY830" s="74"/>
      <c r="AZ830" s="74"/>
      <c r="BA830" s="74"/>
      <c r="BB830" s="74"/>
      <c r="BC830" s="74"/>
      <c r="BD830" s="74"/>
      <c r="BE830" s="74"/>
      <c r="BF830" s="74"/>
      <c r="BG830" s="74"/>
    </row>
    <row r="831" spans="1:59" ht="14.4" x14ac:dyDescent="0.3">
      <c r="A831" s="44">
        <v>14</v>
      </c>
      <c r="B831" s="77" t="s">
        <v>972</v>
      </c>
      <c r="C831" s="78" t="s">
        <v>349</v>
      </c>
      <c r="D831" s="79" t="s">
        <v>973</v>
      </c>
      <c r="E831" s="80" t="s">
        <v>966</v>
      </c>
      <c r="F831" s="81">
        <v>1835940</v>
      </c>
      <c r="G831" s="77" t="s">
        <v>36</v>
      </c>
      <c r="H831" s="82">
        <v>0</v>
      </c>
      <c r="I831" s="49">
        <f>Lab[[#This Row],[qtySaldoAwalSem1]]*Lab[[#This Row],[hargaSatuan]]</f>
        <v>0</v>
      </c>
      <c r="J831" s="82">
        <v>2</v>
      </c>
      <c r="K831" s="51">
        <f>Lab[[#This Row],[qtyTerima2025]]*Lab[[#This Row],[hargaSatuan]]</f>
        <v>3671880</v>
      </c>
      <c r="L831" s="82">
        <v>2</v>
      </c>
      <c r="M831" s="51">
        <f>Lab[[#This Row],[qtyDist2025]]*Lab[[#This Row],[hargaSatuan]]</f>
        <v>3671880</v>
      </c>
      <c r="N831" s="82">
        <v>0</v>
      </c>
      <c r="O831" s="51">
        <f>Lab[[#This Row],[qtyEd2025]]*Lab[[#This Row],[hargaSatuan]]</f>
        <v>0</v>
      </c>
      <c r="P831" s="50">
        <f>Lab[[#This Row],[qtySaldoAwalSem1]]+Lab[[#This Row],[qtyTerima2025]]-(Lab[[#This Row],[qtyDist2025]]+Lab[[#This Row],[qtyEd2025]])</f>
        <v>0</v>
      </c>
      <c r="Q831" s="52">
        <f>Lab[[#This Row],[qtySaldoAkhir2025]]*Lab[[#This Row],[hargaSatuan]]</f>
        <v>0</v>
      </c>
      <c r="R831" s="74"/>
      <c r="S831" s="32">
        <f t="shared" si="24"/>
        <v>0</v>
      </c>
      <c r="T831" s="32">
        <f t="shared" si="25"/>
        <v>0</v>
      </c>
      <c r="U831" s="74"/>
      <c r="V831" s="74"/>
      <c r="W831" s="51"/>
      <c r="X831" s="74"/>
      <c r="Y831" s="74"/>
      <c r="Z831" s="74"/>
      <c r="AA831" s="74"/>
      <c r="AB831" s="74"/>
      <c r="AC831" s="74"/>
      <c r="AD831" s="74"/>
      <c r="AE831" s="74"/>
      <c r="AF831" s="74"/>
      <c r="AG831" s="74"/>
      <c r="AH831" s="74"/>
      <c r="AI831" s="74"/>
      <c r="AJ831" s="74"/>
      <c r="AK831" s="74"/>
      <c r="AL831" s="74"/>
      <c r="AM831" s="74"/>
      <c r="AN831" s="74"/>
      <c r="AO831" s="74"/>
      <c r="AP831" s="74"/>
      <c r="AQ831" s="74"/>
      <c r="AR831" s="74"/>
      <c r="AS831" s="74"/>
      <c r="AT831" s="74"/>
      <c r="AU831" s="74"/>
      <c r="AV831" s="74"/>
      <c r="AW831" s="74"/>
      <c r="AX831" s="74"/>
      <c r="AY831" s="74"/>
      <c r="AZ831" s="74"/>
      <c r="BA831" s="74"/>
      <c r="BB831" s="74"/>
      <c r="BC831" s="74"/>
      <c r="BD831" s="74"/>
      <c r="BE831" s="74"/>
      <c r="BF831" s="74"/>
      <c r="BG831" s="74"/>
    </row>
    <row r="832" spans="1:59" ht="14.4" x14ac:dyDescent="0.3">
      <c r="A832" s="76">
        <v>15</v>
      </c>
      <c r="B832" s="77" t="s">
        <v>972</v>
      </c>
      <c r="C832" s="78" t="s">
        <v>38</v>
      </c>
      <c r="D832" s="79" t="s">
        <v>974</v>
      </c>
      <c r="E832" s="80" t="s">
        <v>975</v>
      </c>
      <c r="F832" s="81">
        <v>1835940</v>
      </c>
      <c r="G832" s="77" t="s">
        <v>41</v>
      </c>
      <c r="H832" s="82">
        <v>0</v>
      </c>
      <c r="I832" s="49">
        <f>Lab[[#This Row],[qtySaldoAwalSem1]]*Lab[[#This Row],[hargaSatuan]]</f>
        <v>0</v>
      </c>
      <c r="J832" s="82">
        <v>3</v>
      </c>
      <c r="K832" s="51">
        <f>Lab[[#This Row],[qtyTerima2025]]*Lab[[#This Row],[hargaSatuan]]</f>
        <v>5507820</v>
      </c>
      <c r="L832" s="82">
        <v>3</v>
      </c>
      <c r="M832" s="51">
        <f>Lab[[#This Row],[qtyDist2025]]*Lab[[#This Row],[hargaSatuan]]</f>
        <v>5507820</v>
      </c>
      <c r="N832" s="82">
        <v>0</v>
      </c>
      <c r="O832" s="51">
        <f>Lab[[#This Row],[qtyEd2025]]*Lab[[#This Row],[hargaSatuan]]</f>
        <v>0</v>
      </c>
      <c r="P832" s="50">
        <f>Lab[[#This Row],[qtySaldoAwalSem1]]+Lab[[#This Row],[qtyTerima2025]]-(Lab[[#This Row],[qtyDist2025]]+Lab[[#This Row],[qtyEd2025]])</f>
        <v>0</v>
      </c>
      <c r="Q832" s="52">
        <f>Lab[[#This Row],[qtySaldoAkhir2025]]*Lab[[#This Row],[hargaSatuan]]</f>
        <v>0</v>
      </c>
      <c r="R832" s="74"/>
      <c r="S832" s="32">
        <f t="shared" si="24"/>
        <v>0</v>
      </c>
      <c r="T832" s="32">
        <f t="shared" si="25"/>
        <v>0</v>
      </c>
      <c r="U832" s="74"/>
      <c r="V832" s="74"/>
      <c r="W832" s="74"/>
      <c r="X832" s="74"/>
      <c r="Y832" s="74"/>
      <c r="Z832" s="74"/>
      <c r="AA832" s="74"/>
      <c r="AB832" s="74"/>
      <c r="AC832" s="74"/>
      <c r="AD832" s="74"/>
      <c r="AE832" s="74"/>
      <c r="AF832" s="74"/>
      <c r="AG832" s="74"/>
      <c r="AH832" s="74"/>
      <c r="AI832" s="74"/>
      <c r="AJ832" s="74"/>
      <c r="AK832" s="74"/>
      <c r="AL832" s="74"/>
      <c r="AM832" s="74"/>
      <c r="AN832" s="74"/>
      <c r="AO832" s="74"/>
      <c r="AP832" s="74"/>
      <c r="AQ832" s="74"/>
      <c r="AR832" s="74"/>
      <c r="AS832" s="74"/>
      <c r="AT832" s="74"/>
      <c r="AU832" s="74"/>
      <c r="AV832" s="74"/>
      <c r="AW832" s="74"/>
      <c r="AX832" s="74"/>
      <c r="AY832" s="74"/>
      <c r="AZ832" s="74"/>
      <c r="BA832" s="74"/>
      <c r="BB832" s="74"/>
      <c r="BC832" s="74"/>
      <c r="BD832" s="74"/>
      <c r="BE832" s="74"/>
      <c r="BF832" s="74"/>
      <c r="BG832" s="74"/>
    </row>
    <row r="833" spans="1:59" ht="14.4" x14ac:dyDescent="0.3">
      <c r="A833" s="44">
        <v>16</v>
      </c>
      <c r="B833" s="77" t="s">
        <v>972</v>
      </c>
      <c r="C833" s="78" t="s">
        <v>38</v>
      </c>
      <c r="D833" s="79" t="s">
        <v>973</v>
      </c>
      <c r="E833" s="80" t="s">
        <v>966</v>
      </c>
      <c r="F833" s="81">
        <v>1835940</v>
      </c>
      <c r="G833" s="77" t="s">
        <v>41</v>
      </c>
      <c r="H833" s="82">
        <v>0</v>
      </c>
      <c r="I833" s="49">
        <f>Lab[[#This Row],[qtySaldoAwalSem1]]*Lab[[#This Row],[hargaSatuan]]</f>
        <v>0</v>
      </c>
      <c r="J833" s="82">
        <v>2</v>
      </c>
      <c r="K833" s="51">
        <f>Lab[[#This Row],[qtyTerima2025]]*Lab[[#This Row],[hargaSatuan]]</f>
        <v>3671880</v>
      </c>
      <c r="L833" s="82">
        <v>2</v>
      </c>
      <c r="M833" s="51">
        <f>Lab[[#This Row],[qtyDist2025]]*Lab[[#This Row],[hargaSatuan]]</f>
        <v>3671880</v>
      </c>
      <c r="N833" s="82">
        <v>0</v>
      </c>
      <c r="O833" s="51">
        <f>Lab[[#This Row],[qtyEd2025]]*Lab[[#This Row],[hargaSatuan]]</f>
        <v>0</v>
      </c>
      <c r="P833" s="50">
        <f>Lab[[#This Row],[qtySaldoAwalSem1]]+Lab[[#This Row],[qtyTerima2025]]-(Lab[[#This Row],[qtyDist2025]]+Lab[[#This Row],[qtyEd2025]])</f>
        <v>0</v>
      </c>
      <c r="Q833" s="52">
        <f>Lab[[#This Row],[qtySaldoAkhir2025]]*Lab[[#This Row],[hargaSatuan]]</f>
        <v>0</v>
      </c>
      <c r="R833" s="74"/>
      <c r="S833" s="32">
        <f t="shared" si="24"/>
        <v>0</v>
      </c>
      <c r="T833" s="32">
        <f t="shared" si="25"/>
        <v>0</v>
      </c>
      <c r="U833" s="74"/>
      <c r="V833" s="74"/>
      <c r="W833" s="74"/>
      <c r="X833" s="74"/>
      <c r="Y833" s="74"/>
      <c r="Z833" s="74"/>
      <c r="AA833" s="74"/>
      <c r="AB833" s="74"/>
      <c r="AC833" s="74"/>
      <c r="AD833" s="74"/>
      <c r="AE833" s="74"/>
      <c r="AF833" s="74"/>
      <c r="AG833" s="74"/>
      <c r="AH833" s="74"/>
      <c r="AI833" s="74"/>
      <c r="AJ833" s="74"/>
      <c r="AK833" s="74"/>
      <c r="AL833" s="74"/>
      <c r="AM833" s="74"/>
      <c r="AN833" s="74"/>
      <c r="AO833" s="74"/>
      <c r="AP833" s="74"/>
      <c r="AQ833" s="74"/>
      <c r="AR833" s="74"/>
      <c r="AS833" s="74"/>
      <c r="AT833" s="74"/>
      <c r="AU833" s="74"/>
      <c r="AV833" s="74"/>
      <c r="AW833" s="74"/>
      <c r="AX833" s="74"/>
      <c r="AY833" s="74"/>
      <c r="AZ833" s="74"/>
      <c r="BA833" s="74"/>
      <c r="BB833" s="74"/>
      <c r="BC833" s="74"/>
      <c r="BD833" s="74"/>
      <c r="BE833" s="74"/>
      <c r="BF833" s="74"/>
      <c r="BG833" s="74"/>
    </row>
    <row r="834" spans="1:59" ht="14.4" x14ac:dyDescent="0.3">
      <c r="A834" s="76">
        <v>17</v>
      </c>
      <c r="B834" s="70" t="s">
        <v>976</v>
      </c>
      <c r="C834" s="78" t="s">
        <v>349</v>
      </c>
      <c r="D834" s="79" t="s">
        <v>977</v>
      </c>
      <c r="E834" s="80" t="s">
        <v>978</v>
      </c>
      <c r="F834" s="81">
        <v>2024640</v>
      </c>
      <c r="G834" s="77" t="s">
        <v>36</v>
      </c>
      <c r="H834" s="82">
        <v>0</v>
      </c>
      <c r="I834" s="49">
        <f>Lab[[#This Row],[qtySaldoAwalSem1]]*Lab[[#This Row],[hargaSatuan]]</f>
        <v>0</v>
      </c>
      <c r="J834" s="82">
        <v>5</v>
      </c>
      <c r="K834" s="51">
        <f>Lab[[#This Row],[qtyTerima2025]]*Lab[[#This Row],[hargaSatuan]]</f>
        <v>10123200</v>
      </c>
      <c r="L834" s="82">
        <v>5</v>
      </c>
      <c r="M834" s="51">
        <f>Lab[[#This Row],[qtyDist2025]]*Lab[[#This Row],[hargaSatuan]]</f>
        <v>10123200</v>
      </c>
      <c r="N834" s="82">
        <v>0</v>
      </c>
      <c r="O834" s="51">
        <f>Lab[[#This Row],[qtyEd2025]]*Lab[[#This Row],[hargaSatuan]]</f>
        <v>0</v>
      </c>
      <c r="P834" s="50">
        <f>Lab[[#This Row],[qtySaldoAwalSem1]]+Lab[[#This Row],[qtyTerima2025]]-(Lab[[#This Row],[qtyDist2025]]+Lab[[#This Row],[qtyEd2025]])</f>
        <v>0</v>
      </c>
      <c r="Q834" s="52">
        <f>Lab[[#This Row],[qtySaldoAkhir2025]]*Lab[[#This Row],[hargaSatuan]]</f>
        <v>0</v>
      </c>
      <c r="R834" s="74"/>
      <c r="S834" s="32">
        <f t="shared" si="24"/>
        <v>0</v>
      </c>
      <c r="T834" s="32">
        <f t="shared" si="25"/>
        <v>0</v>
      </c>
      <c r="U834" s="74"/>
      <c r="V834" s="74"/>
      <c r="W834" s="74"/>
      <c r="X834" s="74"/>
      <c r="Y834" s="74"/>
      <c r="Z834" s="74"/>
      <c r="AA834" s="74"/>
      <c r="AB834" s="74"/>
      <c r="AC834" s="74"/>
      <c r="AD834" s="74"/>
      <c r="AE834" s="74"/>
      <c r="AF834" s="74"/>
      <c r="AG834" s="74"/>
      <c r="AH834" s="74"/>
      <c r="AI834" s="74"/>
      <c r="AJ834" s="74"/>
      <c r="AK834" s="74"/>
      <c r="AL834" s="74"/>
      <c r="AM834" s="74"/>
      <c r="AN834" s="74"/>
      <c r="AO834" s="74"/>
      <c r="AP834" s="74"/>
      <c r="AQ834" s="74"/>
      <c r="AR834" s="74"/>
      <c r="AS834" s="74"/>
      <c r="AT834" s="74"/>
      <c r="AU834" s="74"/>
      <c r="AV834" s="74"/>
      <c r="AW834" s="74"/>
      <c r="AX834" s="74"/>
      <c r="AY834" s="74"/>
      <c r="AZ834" s="74"/>
      <c r="BA834" s="74"/>
      <c r="BB834" s="74"/>
      <c r="BC834" s="74"/>
      <c r="BD834" s="74"/>
      <c r="BE834" s="74"/>
      <c r="BF834" s="74"/>
      <c r="BG834" s="74"/>
    </row>
    <row r="835" spans="1:59" ht="18" customHeight="1" x14ac:dyDescent="0.3">
      <c r="A835" s="44">
        <v>18</v>
      </c>
      <c r="B835" s="55" t="s">
        <v>979</v>
      </c>
      <c r="C835" s="55" t="s">
        <v>349</v>
      </c>
      <c r="D835" s="56" t="s">
        <v>977</v>
      </c>
      <c r="E835" s="57">
        <v>46079</v>
      </c>
      <c r="F835" s="58">
        <v>2024640</v>
      </c>
      <c r="G835" s="55" t="s">
        <v>41</v>
      </c>
      <c r="H835" s="50">
        <v>0</v>
      </c>
      <c r="I835" s="49">
        <f>Lab[[#This Row],[qtySaldoAwalSem1]]*Lab[[#This Row],[hargaSatuan]]</f>
        <v>0</v>
      </c>
      <c r="J835" s="82">
        <v>2</v>
      </c>
      <c r="K835" s="51">
        <f>Lab[[#This Row],[qtyTerima2025]]*Lab[[#This Row],[hargaSatuan]]</f>
        <v>4049280</v>
      </c>
      <c r="L835" s="82">
        <v>2</v>
      </c>
      <c r="M835" s="51">
        <f>Lab[[#This Row],[qtyDist2025]]*Lab[[#This Row],[hargaSatuan]]</f>
        <v>4049280</v>
      </c>
      <c r="N835" s="82">
        <v>0</v>
      </c>
      <c r="O835" s="51">
        <f>Lab[[#This Row],[qtyEd2025]]*Lab[[#This Row],[hargaSatuan]]</f>
        <v>0</v>
      </c>
      <c r="P835" s="50">
        <f>Lab[[#This Row],[qtySaldoAwalSem1]]+Lab[[#This Row],[qtyTerima2025]]-(Lab[[#This Row],[qtyDist2025]]+Lab[[#This Row],[qtyEd2025]])</f>
        <v>0</v>
      </c>
      <c r="Q835" s="52">
        <f>Lab[[#This Row],[qtySaldoAkhir2025]]*Lab[[#This Row],[hargaSatuan]]</f>
        <v>0</v>
      </c>
      <c r="R835" s="50"/>
      <c r="S835" s="32">
        <f t="shared" si="24"/>
        <v>0</v>
      </c>
      <c r="T835" s="32">
        <f t="shared" si="25"/>
        <v>0</v>
      </c>
      <c r="U835" s="51"/>
      <c r="V835" s="50"/>
      <c r="W835" s="74"/>
      <c r="X835" s="50"/>
      <c r="Y835" s="51"/>
      <c r="Z835" s="50"/>
      <c r="AA835" s="51"/>
      <c r="AB835" s="54"/>
      <c r="AC835" s="50"/>
      <c r="AD835" s="51"/>
      <c r="AE835" s="50"/>
      <c r="AF835" s="50"/>
      <c r="AG835" s="50"/>
      <c r="AH835" s="50"/>
      <c r="AI835" s="51"/>
      <c r="AJ835" s="106">
        <v>5</v>
      </c>
      <c r="AK835" s="106">
        <v>5</v>
      </c>
      <c r="AL835" s="50"/>
      <c r="AM835" s="50">
        <v>0</v>
      </c>
      <c r="AN835" s="51">
        <v>0</v>
      </c>
      <c r="AO835" s="50">
        <v>5</v>
      </c>
      <c r="AP835" s="51">
        <v>10123200</v>
      </c>
      <c r="AQ835" s="50">
        <v>5</v>
      </c>
      <c r="AR835" s="51">
        <v>10123200</v>
      </c>
      <c r="AS835" s="50">
        <v>0</v>
      </c>
      <c r="AT835" s="51">
        <v>0</v>
      </c>
      <c r="AU835" s="50">
        <v>0</v>
      </c>
      <c r="AV835" s="51">
        <v>0</v>
      </c>
      <c r="AW835" s="107"/>
      <c r="AX835" s="50">
        <v>5</v>
      </c>
      <c r="AY835" s="51">
        <v>10123200</v>
      </c>
      <c r="AZ835" s="50">
        <v>5</v>
      </c>
      <c r="BA835" s="51">
        <v>10123200</v>
      </c>
      <c r="BB835" s="50">
        <v>0</v>
      </c>
      <c r="BC835" s="51">
        <v>0</v>
      </c>
      <c r="BD835" s="50">
        <v>0</v>
      </c>
      <c r="BE835" s="52">
        <v>0</v>
      </c>
      <c r="BF835" s="54"/>
      <c r="BG835" s="54"/>
    </row>
    <row r="836" spans="1:59" ht="14.4" x14ac:dyDescent="0.3">
      <c r="A836" s="76">
        <v>19</v>
      </c>
      <c r="B836" s="77" t="s">
        <v>980</v>
      </c>
      <c r="C836" s="78" t="s">
        <v>560</v>
      </c>
      <c r="D836" s="79" t="s">
        <v>981</v>
      </c>
      <c r="E836" s="80" t="s">
        <v>982</v>
      </c>
      <c r="F836" s="81">
        <v>2225550</v>
      </c>
      <c r="G836" s="77" t="s">
        <v>41</v>
      </c>
      <c r="H836" s="82">
        <v>0</v>
      </c>
      <c r="I836" s="49">
        <f>Lab[[#This Row],[qtySaldoAwalSem1]]*Lab[[#This Row],[hargaSatuan]]</f>
        <v>0</v>
      </c>
      <c r="J836" s="82">
        <v>6</v>
      </c>
      <c r="K836" s="51">
        <f>Lab[[#This Row],[qtyTerima2025]]*Lab[[#This Row],[hargaSatuan]]</f>
        <v>13353300</v>
      </c>
      <c r="L836" s="82">
        <v>6</v>
      </c>
      <c r="M836" s="51">
        <f>Lab[[#This Row],[qtyDist2025]]*Lab[[#This Row],[hargaSatuan]]</f>
        <v>13353300</v>
      </c>
      <c r="N836" s="82">
        <v>0</v>
      </c>
      <c r="O836" s="51">
        <f>Lab[[#This Row],[qtyEd2025]]*Lab[[#This Row],[hargaSatuan]]</f>
        <v>0</v>
      </c>
      <c r="P836" s="50">
        <f>Lab[[#This Row],[qtySaldoAwalSem1]]+Lab[[#This Row],[qtyTerima2025]]-(Lab[[#This Row],[qtyDist2025]]+Lab[[#This Row],[qtyEd2025]])</f>
        <v>0</v>
      </c>
      <c r="Q836" s="52">
        <f>Lab[[#This Row],[qtySaldoAkhir2025]]*Lab[[#This Row],[hargaSatuan]]</f>
        <v>0</v>
      </c>
      <c r="R836" s="74"/>
      <c r="S836" s="32">
        <f t="shared" si="24"/>
        <v>0</v>
      </c>
      <c r="T836" s="32">
        <f t="shared" si="25"/>
        <v>0</v>
      </c>
      <c r="U836" s="74"/>
      <c r="V836" s="74"/>
      <c r="X836" s="74"/>
      <c r="Y836" s="74"/>
      <c r="Z836" s="74"/>
      <c r="AA836" s="74"/>
      <c r="AB836" s="74"/>
      <c r="AC836" s="74"/>
      <c r="AD836" s="74"/>
      <c r="AE836" s="74"/>
      <c r="AF836" s="74"/>
      <c r="AG836" s="74"/>
      <c r="AH836" s="74"/>
      <c r="AI836" s="74"/>
      <c r="AJ836" s="74"/>
      <c r="AK836" s="74"/>
      <c r="AL836" s="74"/>
      <c r="AM836" s="74"/>
      <c r="AN836" s="74"/>
      <c r="AO836" s="74"/>
      <c r="AP836" s="74"/>
      <c r="AQ836" s="74"/>
      <c r="AR836" s="74"/>
      <c r="AS836" s="74"/>
      <c r="AT836" s="74"/>
      <c r="AU836" s="74"/>
      <c r="AV836" s="74"/>
      <c r="AW836" s="74"/>
      <c r="AX836" s="74"/>
      <c r="AY836" s="74"/>
      <c r="AZ836" s="74"/>
      <c r="BA836" s="74"/>
      <c r="BB836" s="74"/>
      <c r="BC836" s="74"/>
      <c r="BD836" s="74"/>
      <c r="BE836" s="74"/>
      <c r="BF836" s="74"/>
      <c r="BG836" s="74"/>
    </row>
    <row r="837" spans="1:59" ht="14.4" x14ac:dyDescent="0.3">
      <c r="A837" s="44">
        <v>20</v>
      </c>
      <c r="B837" s="77" t="s">
        <v>980</v>
      </c>
      <c r="C837" s="78" t="s">
        <v>38</v>
      </c>
      <c r="D837" s="79" t="s">
        <v>983</v>
      </c>
      <c r="E837" s="80" t="s">
        <v>978</v>
      </c>
      <c r="F837" s="81">
        <v>2225550</v>
      </c>
      <c r="G837" s="77" t="s">
        <v>41</v>
      </c>
      <c r="H837" s="82">
        <v>0</v>
      </c>
      <c r="I837" s="49">
        <f>Lab[[#This Row],[qtySaldoAwalSem1]]*Lab[[#This Row],[hargaSatuan]]</f>
        <v>0</v>
      </c>
      <c r="J837" s="82">
        <v>1</v>
      </c>
      <c r="K837" s="51">
        <f>Lab[[#This Row],[qtyTerima2025]]*Lab[[#This Row],[hargaSatuan]]</f>
        <v>2225550</v>
      </c>
      <c r="L837" s="82">
        <v>1</v>
      </c>
      <c r="M837" s="51">
        <f>Lab[[#This Row],[qtyDist2025]]*Lab[[#This Row],[hargaSatuan]]</f>
        <v>2225550</v>
      </c>
      <c r="N837" s="82">
        <v>0</v>
      </c>
      <c r="O837" s="51">
        <f>Lab[[#This Row],[qtyEd2025]]*Lab[[#This Row],[hargaSatuan]]</f>
        <v>0</v>
      </c>
      <c r="P837" s="50">
        <f>Lab[[#This Row],[qtySaldoAwalSem1]]+Lab[[#This Row],[qtyTerima2025]]-(Lab[[#This Row],[qtyDist2025]]+Lab[[#This Row],[qtyEd2025]])</f>
        <v>0</v>
      </c>
      <c r="Q837" s="52">
        <f>Lab[[#This Row],[qtySaldoAkhir2025]]*Lab[[#This Row],[hargaSatuan]]</f>
        <v>0</v>
      </c>
      <c r="R837" s="74"/>
      <c r="S837" s="32">
        <f t="shared" si="24"/>
        <v>0</v>
      </c>
      <c r="T837" s="32">
        <f t="shared" si="25"/>
        <v>0</v>
      </c>
      <c r="U837" s="74"/>
      <c r="V837" s="74"/>
      <c r="W837" s="74"/>
      <c r="X837" s="74"/>
      <c r="Y837" s="74"/>
      <c r="Z837" s="74"/>
      <c r="AA837" s="74"/>
      <c r="AB837" s="74"/>
      <c r="AC837" s="74"/>
      <c r="AD837" s="74"/>
      <c r="AE837" s="74"/>
      <c r="AF837" s="74"/>
      <c r="AG837" s="74"/>
      <c r="AH837" s="74"/>
      <c r="AI837" s="74"/>
      <c r="AJ837" s="74"/>
      <c r="AK837" s="74"/>
      <c r="AL837" s="74"/>
      <c r="AM837" s="74"/>
      <c r="AN837" s="74"/>
      <c r="AO837" s="74"/>
      <c r="AP837" s="74"/>
      <c r="AQ837" s="74"/>
      <c r="AR837" s="74"/>
      <c r="AS837" s="74"/>
      <c r="AT837" s="74"/>
      <c r="AU837" s="74"/>
      <c r="AV837" s="74"/>
      <c r="AW837" s="74"/>
      <c r="AX837" s="74"/>
      <c r="AY837" s="74"/>
      <c r="AZ837" s="74"/>
      <c r="BA837" s="74"/>
      <c r="BB837" s="74"/>
      <c r="BC837" s="74"/>
      <c r="BD837" s="74"/>
      <c r="BE837" s="74"/>
      <c r="BF837" s="74"/>
      <c r="BG837" s="74"/>
    </row>
    <row r="838" spans="1:59" ht="14.4" x14ac:dyDescent="0.3">
      <c r="A838" s="76">
        <v>21</v>
      </c>
      <c r="B838" s="77" t="s">
        <v>984</v>
      </c>
      <c r="C838" s="78" t="s">
        <v>968</v>
      </c>
      <c r="D838" s="79">
        <v>720017830</v>
      </c>
      <c r="E838" s="80" t="s">
        <v>985</v>
      </c>
      <c r="F838" s="81">
        <v>1065600</v>
      </c>
      <c r="G838" s="77" t="s">
        <v>41</v>
      </c>
      <c r="H838" s="82">
        <v>0</v>
      </c>
      <c r="I838" s="49">
        <f>Lab[[#This Row],[qtySaldoAwalSem1]]*Lab[[#This Row],[hargaSatuan]]</f>
        <v>0</v>
      </c>
      <c r="J838" s="82">
        <v>5</v>
      </c>
      <c r="K838" s="51">
        <f>Lab[[#This Row],[qtyTerima2025]]*Lab[[#This Row],[hargaSatuan]]</f>
        <v>5328000</v>
      </c>
      <c r="L838" s="82">
        <v>5</v>
      </c>
      <c r="M838" s="51">
        <f>Lab[[#This Row],[qtyDist2025]]*Lab[[#This Row],[hargaSatuan]]</f>
        <v>5328000</v>
      </c>
      <c r="N838" s="82">
        <v>0</v>
      </c>
      <c r="O838" s="51">
        <f>Lab[[#This Row],[qtyEd2025]]*Lab[[#This Row],[hargaSatuan]]</f>
        <v>0</v>
      </c>
      <c r="P838" s="50">
        <f>Lab[[#This Row],[qtySaldoAwalSem1]]+Lab[[#This Row],[qtyTerima2025]]-(Lab[[#This Row],[qtyDist2025]]+Lab[[#This Row],[qtyEd2025]])</f>
        <v>0</v>
      </c>
      <c r="Q838" s="52">
        <f>Lab[[#This Row],[qtySaldoAkhir2025]]*Lab[[#This Row],[hargaSatuan]]</f>
        <v>0</v>
      </c>
      <c r="R838" s="74"/>
      <c r="S838" s="32">
        <f t="shared" si="24"/>
        <v>0</v>
      </c>
      <c r="T838" s="32">
        <f t="shared" si="25"/>
        <v>0</v>
      </c>
      <c r="U838" s="74"/>
      <c r="V838" s="74"/>
      <c r="X838" s="74"/>
      <c r="Y838" s="74"/>
      <c r="Z838" s="74"/>
      <c r="AA838" s="74"/>
      <c r="AB838" s="74"/>
      <c r="AC838" s="74"/>
      <c r="AD838" s="74"/>
      <c r="AE838" s="74"/>
      <c r="AF838" s="74"/>
      <c r="AG838" s="74"/>
      <c r="AH838" s="74"/>
      <c r="AI838" s="74"/>
      <c r="AJ838" s="74"/>
      <c r="AK838" s="74"/>
      <c r="AL838" s="74"/>
      <c r="AM838" s="74"/>
      <c r="AN838" s="74"/>
      <c r="AO838" s="74"/>
      <c r="AP838" s="74"/>
      <c r="AQ838" s="74"/>
      <c r="AR838" s="74"/>
      <c r="AS838" s="74"/>
      <c r="AT838" s="74"/>
      <c r="AU838" s="74"/>
      <c r="AV838" s="74"/>
      <c r="AW838" s="74"/>
      <c r="AX838" s="74"/>
      <c r="AY838" s="74"/>
      <c r="AZ838" s="74"/>
      <c r="BA838" s="74"/>
      <c r="BB838" s="74"/>
      <c r="BC838" s="74"/>
      <c r="BD838" s="74"/>
      <c r="BE838" s="74"/>
      <c r="BF838" s="74"/>
      <c r="BG838" s="74"/>
    </row>
    <row r="839" spans="1:59" ht="14.4" x14ac:dyDescent="0.3">
      <c r="A839" s="44">
        <v>22</v>
      </c>
      <c r="B839" s="77" t="s">
        <v>986</v>
      </c>
      <c r="C839" s="78" t="s">
        <v>968</v>
      </c>
      <c r="D839" s="79" t="s">
        <v>987</v>
      </c>
      <c r="E839" s="80" t="s">
        <v>985</v>
      </c>
      <c r="F839" s="81">
        <v>4354570</v>
      </c>
      <c r="G839" s="77" t="s">
        <v>54</v>
      </c>
      <c r="H839" s="82">
        <v>3</v>
      </c>
      <c r="I839" s="49">
        <f>Lab[[#This Row],[qtySaldoAwalSem1]]*Lab[[#This Row],[hargaSatuan]]</f>
        <v>13063710</v>
      </c>
      <c r="J839" s="82">
        <v>0</v>
      </c>
      <c r="K839" s="51">
        <f>Lab[[#This Row],[qtyTerima2025]]*Lab[[#This Row],[hargaSatuan]]</f>
        <v>0</v>
      </c>
      <c r="L839" s="82">
        <v>0</v>
      </c>
      <c r="M839" s="51">
        <f>Lab[[#This Row],[qtyDist2025]]*Lab[[#This Row],[hargaSatuan]]</f>
        <v>0</v>
      </c>
      <c r="N839" s="82">
        <v>3</v>
      </c>
      <c r="O839" s="51">
        <f>Lab[[#This Row],[qtyEd2025]]*Lab[[#This Row],[hargaSatuan]]</f>
        <v>13063710</v>
      </c>
      <c r="P839" s="50">
        <f>Lab[[#This Row],[qtySaldoAwalSem1]]+Lab[[#This Row],[qtyTerima2025]]-(Lab[[#This Row],[qtyDist2025]]+Lab[[#This Row],[qtyEd2025]])</f>
        <v>0</v>
      </c>
      <c r="Q839" s="52">
        <f>Lab[[#This Row],[qtySaldoAkhir2025]]*Lab[[#This Row],[hargaSatuan]]</f>
        <v>0</v>
      </c>
      <c r="R839" s="74"/>
      <c r="S839" s="32">
        <f t="shared" si="24"/>
        <v>0</v>
      </c>
      <c r="T839" s="32">
        <f t="shared" si="25"/>
        <v>0</v>
      </c>
      <c r="U839" s="74"/>
      <c r="V839" s="74"/>
      <c r="X839" s="74"/>
      <c r="Y839" s="74"/>
      <c r="Z839" s="74"/>
      <c r="AA839" s="74"/>
      <c r="AB839" s="74"/>
      <c r="AC839" s="74"/>
      <c r="AD839" s="74"/>
      <c r="AE839" s="74"/>
      <c r="AF839" s="74"/>
      <c r="AG839" s="74"/>
      <c r="AH839" s="74"/>
      <c r="AI839" s="74"/>
      <c r="AJ839" s="74"/>
      <c r="AK839" s="74"/>
      <c r="AL839" s="74"/>
      <c r="AM839" s="74"/>
      <c r="AN839" s="74"/>
      <c r="AO839" s="74"/>
      <c r="AP839" s="74"/>
      <c r="AQ839" s="74"/>
      <c r="AR839" s="74"/>
      <c r="AS839" s="74"/>
      <c r="AT839" s="74"/>
      <c r="AU839" s="74"/>
      <c r="AV839" s="74"/>
      <c r="AW839" s="74"/>
      <c r="AX839" s="74"/>
      <c r="AY839" s="74"/>
      <c r="AZ839" s="74"/>
      <c r="BA839" s="74"/>
      <c r="BB839" s="74"/>
      <c r="BC839" s="74"/>
      <c r="BD839" s="74"/>
      <c r="BE839" s="74"/>
      <c r="BF839" s="74"/>
      <c r="BG839" s="74"/>
    </row>
    <row r="840" spans="1:59" ht="14.4" x14ac:dyDescent="0.3">
      <c r="A840" s="76">
        <v>23</v>
      </c>
      <c r="B840" s="45" t="s">
        <v>988</v>
      </c>
      <c r="C840" s="46" t="s">
        <v>349</v>
      </c>
      <c r="D840" s="47" t="s">
        <v>886</v>
      </c>
      <c r="E840" s="48" t="s">
        <v>886</v>
      </c>
      <c r="F840" s="49">
        <v>209262.75</v>
      </c>
      <c r="G840" s="45" t="s">
        <v>41</v>
      </c>
      <c r="H840" s="50">
        <v>0</v>
      </c>
      <c r="I840" s="49">
        <f>Lab[[#This Row],[qtySaldoAwalSem1]]*Lab[[#This Row],[hargaSatuan]]</f>
        <v>0</v>
      </c>
      <c r="J840" s="50">
        <v>160</v>
      </c>
      <c r="K840" s="51">
        <f>Lab[[#This Row],[qtyTerima2025]]*Lab[[#This Row],[hargaSatuan]]</f>
        <v>33482040</v>
      </c>
      <c r="L840" s="50">
        <v>160</v>
      </c>
      <c r="M840" s="51">
        <f>Lab[[#This Row],[qtyDist2025]]*Lab[[#This Row],[hargaSatuan]]</f>
        <v>33482040</v>
      </c>
      <c r="N840" s="50">
        <v>0</v>
      </c>
      <c r="O840" s="51">
        <f>Lab[[#This Row],[qtyEd2025]]*Lab[[#This Row],[hargaSatuan]]</f>
        <v>0</v>
      </c>
      <c r="P840" s="50">
        <f>Lab[[#This Row],[qtySaldoAwalSem1]]+Lab[[#This Row],[qtyTerima2025]]-(Lab[[#This Row],[qtyDist2025]]+Lab[[#This Row],[qtyEd2025]])</f>
        <v>0</v>
      </c>
      <c r="Q840" s="52">
        <f>Lab[[#This Row],[qtySaldoAkhir2025]]*Lab[[#This Row],[hargaSatuan]]</f>
        <v>0</v>
      </c>
      <c r="S840" s="32">
        <f t="shared" si="24"/>
        <v>0</v>
      </c>
      <c r="T840" s="32">
        <f t="shared" si="25"/>
        <v>0</v>
      </c>
    </row>
    <row r="841" spans="1:59" ht="14.4" x14ac:dyDescent="0.3">
      <c r="A841" s="44">
        <v>24</v>
      </c>
      <c r="B841" s="77" t="s">
        <v>989</v>
      </c>
      <c r="C841" s="78" t="s">
        <v>990</v>
      </c>
      <c r="D841" s="79">
        <v>220825</v>
      </c>
      <c r="E841" s="80">
        <v>46292</v>
      </c>
      <c r="F841" s="81">
        <v>213.65277777777777</v>
      </c>
      <c r="G841" s="77" t="s">
        <v>40</v>
      </c>
      <c r="H841" s="82">
        <v>3384</v>
      </c>
      <c r="I841" s="49">
        <f>Lab[[#This Row],[qtySaldoAwalSem1]]*Lab[[#This Row],[hargaSatuan]]</f>
        <v>723001</v>
      </c>
      <c r="J841" s="82">
        <v>0</v>
      </c>
      <c r="K841" s="51">
        <f>Lab[[#This Row],[qtyTerima2025]]*Lab[[#This Row],[hargaSatuan]]</f>
        <v>0</v>
      </c>
      <c r="L841" s="82">
        <v>2808</v>
      </c>
      <c r="M841" s="51">
        <f>Lab[[#This Row],[qtyDist2025]]*Lab[[#This Row],[hargaSatuan]]</f>
        <v>599937</v>
      </c>
      <c r="N841" s="82">
        <v>0</v>
      </c>
      <c r="O841" s="51">
        <f>Lab[[#This Row],[qtyEd2025]]*Lab[[#This Row],[hargaSatuan]]</f>
        <v>0</v>
      </c>
      <c r="P841" s="50">
        <f>Lab[[#This Row],[qtySaldoAwalSem1]]+Lab[[#This Row],[qtyTerima2025]]-(Lab[[#This Row],[qtyDist2025]]+Lab[[#This Row],[qtyEd2025]])</f>
        <v>576</v>
      </c>
      <c r="Q841" s="52">
        <f>Lab[[#This Row],[qtySaldoAkhir2025]]*Lab[[#This Row],[hargaSatuan]]</f>
        <v>123064</v>
      </c>
      <c r="R841" s="74"/>
      <c r="S841" s="32">
        <f t="shared" ref="S841:S904" si="26">IFERROR(I841+K841-(M841+O841),0)</f>
        <v>123064</v>
      </c>
      <c r="T841" s="32">
        <f t="shared" ref="T841:T904" si="27">IFERROR(Q841-S841,0)</f>
        <v>0</v>
      </c>
      <c r="U841" s="74"/>
      <c r="V841" s="74"/>
      <c r="X841" s="74"/>
      <c r="Y841" s="74"/>
      <c r="Z841" s="74"/>
      <c r="AA841" s="74"/>
      <c r="AB841" s="74"/>
      <c r="AC841" s="74"/>
      <c r="AD841" s="74"/>
      <c r="AE841" s="74"/>
      <c r="AF841" s="74"/>
      <c r="AG841" s="74"/>
      <c r="AH841" s="74"/>
      <c r="AI841" s="74"/>
      <c r="AJ841" s="74"/>
      <c r="AK841" s="74"/>
      <c r="AL841" s="74"/>
      <c r="AM841" s="74"/>
      <c r="AN841" s="74"/>
      <c r="AO841" s="74"/>
      <c r="AP841" s="74"/>
      <c r="AQ841" s="74"/>
      <c r="AR841" s="74"/>
      <c r="AS841" s="74"/>
      <c r="AT841" s="74"/>
      <c r="AU841" s="74"/>
      <c r="AV841" s="74"/>
      <c r="AW841" s="74"/>
      <c r="AX841" s="74"/>
      <c r="AY841" s="74"/>
      <c r="AZ841" s="74"/>
      <c r="BA841" s="74"/>
      <c r="BB841" s="74"/>
      <c r="BC841" s="74"/>
      <c r="BD841" s="74"/>
      <c r="BE841" s="74"/>
      <c r="BF841" s="74"/>
      <c r="BG841" s="74"/>
    </row>
    <row r="842" spans="1:59" ht="14.4" x14ac:dyDescent="0.3">
      <c r="A842" s="76">
        <v>25</v>
      </c>
      <c r="B842" s="45" t="s">
        <v>991</v>
      </c>
      <c r="C842" s="46" t="s">
        <v>838</v>
      </c>
      <c r="D842" s="47">
        <v>0</v>
      </c>
      <c r="E842" s="48">
        <v>46138</v>
      </c>
      <c r="F842" s="49">
        <v>87550</v>
      </c>
      <c r="G842" s="45" t="s">
        <v>54</v>
      </c>
      <c r="H842" s="50">
        <v>7</v>
      </c>
      <c r="I842" s="49">
        <f>Lab[[#This Row],[qtySaldoAwalSem1]]*Lab[[#This Row],[hargaSatuan]]</f>
        <v>612850</v>
      </c>
      <c r="J842" s="50">
        <v>0</v>
      </c>
      <c r="K842" s="51">
        <f>Lab[[#This Row],[qtyTerima2025]]*Lab[[#This Row],[hargaSatuan]]</f>
        <v>0</v>
      </c>
      <c r="L842" s="50">
        <v>0</v>
      </c>
      <c r="M842" s="51">
        <f>Lab[[#This Row],[qtyDist2025]]*Lab[[#This Row],[hargaSatuan]]</f>
        <v>0</v>
      </c>
      <c r="N842" s="50">
        <v>0</v>
      </c>
      <c r="O842" s="51">
        <f>Lab[[#This Row],[qtyEd2025]]*Lab[[#This Row],[hargaSatuan]]</f>
        <v>0</v>
      </c>
      <c r="P842" s="50">
        <f>Lab[[#This Row],[qtySaldoAwalSem1]]+Lab[[#This Row],[qtyTerima2025]]-(Lab[[#This Row],[qtyDist2025]]+Lab[[#This Row],[qtyEd2025]])</f>
        <v>7</v>
      </c>
      <c r="Q842" s="52">
        <f>Lab[[#This Row],[qtySaldoAkhir2025]]*Lab[[#This Row],[hargaSatuan]]</f>
        <v>612850</v>
      </c>
      <c r="S842" s="32">
        <f t="shared" si="26"/>
        <v>612850</v>
      </c>
      <c r="T842" s="32">
        <f t="shared" si="27"/>
        <v>0</v>
      </c>
    </row>
    <row r="843" spans="1:59" ht="14.4" x14ac:dyDescent="0.3">
      <c r="A843" s="44">
        <v>26</v>
      </c>
      <c r="B843" s="45" t="s">
        <v>991</v>
      </c>
      <c r="C843" s="46" t="s">
        <v>838</v>
      </c>
      <c r="D843" s="47">
        <v>0</v>
      </c>
      <c r="E843" s="48">
        <v>0</v>
      </c>
      <c r="F843" s="49">
        <v>87550</v>
      </c>
      <c r="G843" s="45" t="s">
        <v>54</v>
      </c>
      <c r="H843" s="50">
        <v>30</v>
      </c>
      <c r="I843" s="49">
        <f>Lab[[#This Row],[qtySaldoAwalSem1]]*Lab[[#This Row],[hargaSatuan]]</f>
        <v>2626500</v>
      </c>
      <c r="J843" s="50">
        <v>0</v>
      </c>
      <c r="K843" s="51">
        <f>Lab[[#This Row],[qtyTerima2025]]*Lab[[#This Row],[hargaSatuan]]</f>
        <v>0</v>
      </c>
      <c r="L843" s="50">
        <v>0</v>
      </c>
      <c r="M843" s="51">
        <f>Lab[[#This Row],[qtyDist2025]]*Lab[[#This Row],[hargaSatuan]]</f>
        <v>0</v>
      </c>
      <c r="N843" s="50">
        <v>0</v>
      </c>
      <c r="O843" s="51">
        <f>Lab[[#This Row],[qtyEd2025]]*Lab[[#This Row],[hargaSatuan]]</f>
        <v>0</v>
      </c>
      <c r="P843" s="50">
        <f>Lab[[#This Row],[qtySaldoAwalSem1]]+Lab[[#This Row],[qtyTerima2025]]-(Lab[[#This Row],[qtyDist2025]]+Lab[[#This Row],[qtyEd2025]])</f>
        <v>30</v>
      </c>
      <c r="Q843" s="52">
        <f>Lab[[#This Row],[qtySaldoAkhir2025]]*Lab[[#This Row],[hargaSatuan]]</f>
        <v>2626500</v>
      </c>
      <c r="S843" s="32">
        <f t="shared" si="26"/>
        <v>2626500</v>
      </c>
      <c r="T843" s="32">
        <f t="shared" si="27"/>
        <v>0</v>
      </c>
    </row>
    <row r="844" spans="1:59" ht="14.4" x14ac:dyDescent="0.3">
      <c r="A844" s="76">
        <v>27</v>
      </c>
      <c r="B844" s="45" t="s">
        <v>991</v>
      </c>
      <c r="C844" s="46" t="s">
        <v>838</v>
      </c>
      <c r="D844" s="47" t="s">
        <v>992</v>
      </c>
      <c r="E844" s="48">
        <v>46354</v>
      </c>
      <c r="F844" s="49">
        <v>84987.5</v>
      </c>
      <c r="G844" s="45" t="s">
        <v>54</v>
      </c>
      <c r="H844" s="50">
        <v>80</v>
      </c>
      <c r="I844" s="49">
        <f>Lab[[#This Row],[qtySaldoAwalSem1]]*Lab[[#This Row],[hargaSatuan]]</f>
        <v>6799000</v>
      </c>
      <c r="J844" s="50">
        <v>0</v>
      </c>
      <c r="K844" s="51">
        <f>Lab[[#This Row],[qtyTerima2025]]*Lab[[#This Row],[hargaSatuan]]</f>
        <v>0</v>
      </c>
      <c r="L844" s="50">
        <v>0</v>
      </c>
      <c r="M844" s="51">
        <f>Lab[[#This Row],[qtyDist2025]]*Lab[[#This Row],[hargaSatuan]]</f>
        <v>0</v>
      </c>
      <c r="N844" s="50">
        <v>0</v>
      </c>
      <c r="O844" s="51">
        <f>Lab[[#This Row],[qtyEd2025]]*Lab[[#This Row],[hargaSatuan]]</f>
        <v>0</v>
      </c>
      <c r="P844" s="50">
        <f>Lab[[#This Row],[qtySaldoAwalSem1]]+Lab[[#This Row],[qtyTerima2025]]-(Lab[[#This Row],[qtyDist2025]]+Lab[[#This Row],[qtyEd2025]])</f>
        <v>80</v>
      </c>
      <c r="Q844" s="52">
        <f>Lab[[#This Row],[qtySaldoAkhir2025]]*Lab[[#This Row],[hargaSatuan]]</f>
        <v>6799000</v>
      </c>
      <c r="S844" s="32">
        <f t="shared" si="26"/>
        <v>6799000</v>
      </c>
      <c r="T844" s="32">
        <f t="shared" si="27"/>
        <v>0</v>
      </c>
    </row>
    <row r="845" spans="1:59" ht="14.4" x14ac:dyDescent="0.3">
      <c r="A845" s="44">
        <v>28</v>
      </c>
      <c r="B845" s="45" t="s">
        <v>991</v>
      </c>
      <c r="C845" s="46" t="s">
        <v>838</v>
      </c>
      <c r="D845" s="47" t="s">
        <v>993</v>
      </c>
      <c r="E845" s="48">
        <v>0</v>
      </c>
      <c r="F845" s="49">
        <v>153000</v>
      </c>
      <c r="G845" s="45" t="s">
        <v>60</v>
      </c>
      <c r="H845" s="50">
        <v>0</v>
      </c>
      <c r="I845" s="49">
        <f>Lab[[#This Row],[qtySaldoAwalSem1]]*Lab[[#This Row],[hargaSatuan]]</f>
        <v>0</v>
      </c>
      <c r="J845" s="50">
        <v>294</v>
      </c>
      <c r="K845" s="51">
        <f>Lab[[#This Row],[qtyTerima2025]]*Lab[[#This Row],[hargaSatuan]]</f>
        <v>44982000</v>
      </c>
      <c r="L845" s="50">
        <v>294</v>
      </c>
      <c r="M845" s="51">
        <f>Lab[[#This Row],[qtyDist2025]]*Lab[[#This Row],[hargaSatuan]]</f>
        <v>44982000</v>
      </c>
      <c r="N845" s="50">
        <v>0</v>
      </c>
      <c r="O845" s="51">
        <f>Lab[[#This Row],[qtyEd2025]]*Lab[[#This Row],[hargaSatuan]]</f>
        <v>0</v>
      </c>
      <c r="P845" s="50">
        <f>Lab[[#This Row],[qtySaldoAwalSem1]]+Lab[[#This Row],[qtyTerima2025]]-(Lab[[#This Row],[qtyDist2025]]+Lab[[#This Row],[qtyEd2025]])</f>
        <v>0</v>
      </c>
      <c r="Q845" s="52">
        <f>Lab[[#This Row],[qtySaldoAkhir2025]]*Lab[[#This Row],[hargaSatuan]]</f>
        <v>0</v>
      </c>
      <c r="S845" s="32">
        <f t="shared" si="26"/>
        <v>0</v>
      </c>
      <c r="T845" s="32">
        <f t="shared" si="27"/>
        <v>0</v>
      </c>
    </row>
    <row r="846" spans="1:59" ht="14.4" x14ac:dyDescent="0.3">
      <c r="A846" s="76">
        <v>29</v>
      </c>
      <c r="B846" s="45" t="s">
        <v>991</v>
      </c>
      <c r="C846" s="46" t="s">
        <v>838</v>
      </c>
      <c r="D846" s="47" t="s">
        <v>994</v>
      </c>
      <c r="E846" s="48">
        <v>0</v>
      </c>
      <c r="F846" s="49">
        <v>153000</v>
      </c>
      <c r="G846" s="45" t="s">
        <v>60</v>
      </c>
      <c r="H846" s="50">
        <v>0</v>
      </c>
      <c r="I846" s="49">
        <f>Lab[[#This Row],[qtySaldoAwalSem1]]*Lab[[#This Row],[hargaSatuan]]</f>
        <v>0</v>
      </c>
      <c r="J846" s="50">
        <v>31</v>
      </c>
      <c r="K846" s="51">
        <f>Lab[[#This Row],[qtyTerima2025]]*Lab[[#This Row],[hargaSatuan]]</f>
        <v>4743000</v>
      </c>
      <c r="L846" s="50">
        <v>31</v>
      </c>
      <c r="M846" s="51">
        <f>Lab[[#This Row],[qtyDist2025]]*Lab[[#This Row],[hargaSatuan]]</f>
        <v>4743000</v>
      </c>
      <c r="N846" s="50">
        <v>0</v>
      </c>
      <c r="O846" s="51">
        <f>Lab[[#This Row],[qtyEd2025]]*Lab[[#This Row],[hargaSatuan]]</f>
        <v>0</v>
      </c>
      <c r="P846" s="50">
        <f>Lab[[#This Row],[qtySaldoAwalSem1]]+Lab[[#This Row],[qtyTerima2025]]-(Lab[[#This Row],[qtyDist2025]]+Lab[[#This Row],[qtyEd2025]])</f>
        <v>0</v>
      </c>
      <c r="Q846" s="52">
        <f>Lab[[#This Row],[qtySaldoAkhir2025]]*Lab[[#This Row],[hargaSatuan]]</f>
        <v>0</v>
      </c>
      <c r="S846" s="32">
        <f t="shared" si="26"/>
        <v>0</v>
      </c>
      <c r="T846" s="32">
        <f t="shared" si="27"/>
        <v>0</v>
      </c>
    </row>
    <row r="847" spans="1:59" ht="14.4" x14ac:dyDescent="0.3">
      <c r="A847" s="44">
        <v>30</v>
      </c>
      <c r="B847" s="45" t="s">
        <v>991</v>
      </c>
      <c r="C847" s="46" t="s">
        <v>838</v>
      </c>
      <c r="D847" s="47" t="s">
        <v>995</v>
      </c>
      <c r="E847" s="48">
        <v>0</v>
      </c>
      <c r="F847" s="49">
        <v>127000</v>
      </c>
      <c r="G847" s="45" t="s">
        <v>60</v>
      </c>
      <c r="H847" s="50">
        <v>0</v>
      </c>
      <c r="I847" s="49">
        <f>Lab[[#This Row],[qtySaldoAwalSem1]]*Lab[[#This Row],[hargaSatuan]]</f>
        <v>0</v>
      </c>
      <c r="J847" s="50">
        <v>648</v>
      </c>
      <c r="K847" s="51">
        <f>Lab[[#This Row],[qtyTerima2025]]*Lab[[#This Row],[hargaSatuan]]</f>
        <v>82296000</v>
      </c>
      <c r="L847" s="50">
        <v>637</v>
      </c>
      <c r="M847" s="51">
        <f>Lab[[#This Row],[qtyDist2025]]*Lab[[#This Row],[hargaSatuan]]</f>
        <v>80899000</v>
      </c>
      <c r="N847" s="50">
        <v>0</v>
      </c>
      <c r="O847" s="51">
        <f>Lab[[#This Row],[qtyEd2025]]*Lab[[#This Row],[hargaSatuan]]</f>
        <v>0</v>
      </c>
      <c r="P847" s="50">
        <f>Lab[[#This Row],[qtySaldoAwalSem1]]+Lab[[#This Row],[qtyTerima2025]]-(Lab[[#This Row],[qtyDist2025]]+Lab[[#This Row],[qtyEd2025]])</f>
        <v>11</v>
      </c>
      <c r="Q847" s="52">
        <f>Lab[[#This Row],[qtySaldoAkhir2025]]*Lab[[#This Row],[hargaSatuan]]</f>
        <v>1397000</v>
      </c>
      <c r="S847" s="32">
        <f t="shared" si="26"/>
        <v>1397000</v>
      </c>
      <c r="T847" s="32">
        <f t="shared" si="27"/>
        <v>0</v>
      </c>
    </row>
    <row r="848" spans="1:59" ht="14.4" x14ac:dyDescent="0.3">
      <c r="A848" s="76">
        <v>31</v>
      </c>
      <c r="B848" s="45" t="s">
        <v>991</v>
      </c>
      <c r="C848" s="46" t="s">
        <v>838</v>
      </c>
      <c r="D848" s="47" t="s">
        <v>996</v>
      </c>
      <c r="E848" s="48">
        <v>0</v>
      </c>
      <c r="F848" s="49">
        <v>127000</v>
      </c>
      <c r="G848" s="45" t="s">
        <v>60</v>
      </c>
      <c r="H848" s="50">
        <v>0</v>
      </c>
      <c r="I848" s="49">
        <f>Lab[[#This Row],[qtySaldoAwalSem1]]*Lab[[#This Row],[hargaSatuan]]</f>
        <v>0</v>
      </c>
      <c r="J848" s="50">
        <v>2</v>
      </c>
      <c r="K848" s="51">
        <f>Lab[[#This Row],[qtyTerima2025]]*Lab[[#This Row],[hargaSatuan]]</f>
        <v>254000</v>
      </c>
      <c r="L848" s="50">
        <v>2</v>
      </c>
      <c r="M848" s="51">
        <f>Lab[[#This Row],[qtyDist2025]]*Lab[[#This Row],[hargaSatuan]]</f>
        <v>254000</v>
      </c>
      <c r="N848" s="50">
        <v>0</v>
      </c>
      <c r="O848" s="51">
        <f>Lab[[#This Row],[qtyEd2025]]*Lab[[#This Row],[hargaSatuan]]</f>
        <v>0</v>
      </c>
      <c r="P848" s="50">
        <f>Lab[[#This Row],[qtySaldoAwalSem1]]+Lab[[#This Row],[qtyTerima2025]]-(Lab[[#This Row],[qtyDist2025]]+Lab[[#This Row],[qtyEd2025]])</f>
        <v>0</v>
      </c>
      <c r="Q848" s="52">
        <f>Lab[[#This Row],[qtySaldoAkhir2025]]*Lab[[#This Row],[hargaSatuan]]</f>
        <v>0</v>
      </c>
      <c r="S848" s="32">
        <f t="shared" si="26"/>
        <v>0</v>
      </c>
      <c r="T848" s="32">
        <f t="shared" si="27"/>
        <v>0</v>
      </c>
    </row>
    <row r="849" spans="1:59" ht="14.4" x14ac:dyDescent="0.3">
      <c r="A849" s="44">
        <v>32</v>
      </c>
      <c r="B849" s="45" t="s">
        <v>997</v>
      </c>
      <c r="C849" s="46" t="s">
        <v>752</v>
      </c>
      <c r="D849" s="47">
        <v>0</v>
      </c>
      <c r="E849" s="48">
        <v>0</v>
      </c>
      <c r="F849" s="49">
        <v>7975</v>
      </c>
      <c r="G849" s="45" t="s">
        <v>40</v>
      </c>
      <c r="H849" s="50">
        <v>2000</v>
      </c>
      <c r="I849" s="49">
        <f>Lab[[#This Row],[qtySaldoAwalSem1]]*Lab[[#This Row],[hargaSatuan]]</f>
        <v>15950000</v>
      </c>
      <c r="J849" s="50">
        <v>0</v>
      </c>
      <c r="K849" s="51">
        <f>Lab[[#This Row],[qtyTerima2025]]*Lab[[#This Row],[hargaSatuan]]</f>
        <v>0</v>
      </c>
      <c r="L849" s="50">
        <v>0</v>
      </c>
      <c r="M849" s="51">
        <f>Lab[[#This Row],[qtyDist2025]]*Lab[[#This Row],[hargaSatuan]]</f>
        <v>0</v>
      </c>
      <c r="N849" s="50">
        <v>0</v>
      </c>
      <c r="O849" s="51">
        <f>Lab[[#This Row],[qtyEd2025]]*Lab[[#This Row],[hargaSatuan]]</f>
        <v>0</v>
      </c>
      <c r="P849" s="50">
        <f>Lab[[#This Row],[qtySaldoAwalSem1]]+Lab[[#This Row],[qtyTerima2025]]-(Lab[[#This Row],[qtyDist2025]]+Lab[[#This Row],[qtyEd2025]])</f>
        <v>2000</v>
      </c>
      <c r="Q849" s="52">
        <f>Lab[[#This Row],[qtySaldoAkhir2025]]*Lab[[#This Row],[hargaSatuan]]</f>
        <v>15950000</v>
      </c>
      <c r="S849" s="32">
        <f t="shared" si="26"/>
        <v>15950000</v>
      </c>
      <c r="T849" s="32">
        <f t="shared" si="27"/>
        <v>0</v>
      </c>
    </row>
    <row r="850" spans="1:59" ht="14.4" x14ac:dyDescent="0.3">
      <c r="A850" s="76">
        <v>33</v>
      </c>
      <c r="B850" s="45" t="s">
        <v>998</v>
      </c>
      <c r="C850" s="46" t="s">
        <v>38</v>
      </c>
      <c r="D850" s="47">
        <v>11123882</v>
      </c>
      <c r="E850" s="48" t="s">
        <v>999</v>
      </c>
      <c r="F850" s="49">
        <v>42800</v>
      </c>
      <c r="G850" s="45" t="s">
        <v>17</v>
      </c>
      <c r="H850" s="50">
        <v>18</v>
      </c>
      <c r="I850" s="49">
        <f>Lab[[#This Row],[qtySaldoAwalSem1]]*Lab[[#This Row],[hargaSatuan]]</f>
        <v>770400</v>
      </c>
      <c r="J850" s="50">
        <v>0</v>
      </c>
      <c r="K850" s="51">
        <f>Lab[[#This Row],[qtyTerima2025]]*Lab[[#This Row],[hargaSatuan]]</f>
        <v>0</v>
      </c>
      <c r="L850" s="50">
        <v>0</v>
      </c>
      <c r="M850" s="51">
        <f>Lab[[#This Row],[qtyDist2025]]*Lab[[#This Row],[hargaSatuan]]</f>
        <v>0</v>
      </c>
      <c r="N850" s="50">
        <v>0</v>
      </c>
      <c r="O850" s="51">
        <f>Lab[[#This Row],[qtyEd2025]]*Lab[[#This Row],[hargaSatuan]]</f>
        <v>0</v>
      </c>
      <c r="P850" s="50">
        <f>Lab[[#This Row],[qtySaldoAwalSem1]]+Lab[[#This Row],[qtyTerima2025]]-(Lab[[#This Row],[qtyDist2025]]+Lab[[#This Row],[qtyEd2025]])</f>
        <v>18</v>
      </c>
      <c r="Q850" s="52">
        <f>Lab[[#This Row],[qtySaldoAkhir2025]]*Lab[[#This Row],[hargaSatuan]]</f>
        <v>770400</v>
      </c>
      <c r="S850" s="32">
        <f t="shared" si="26"/>
        <v>770400</v>
      </c>
      <c r="T850" s="32">
        <f t="shared" si="27"/>
        <v>0</v>
      </c>
      <c r="W850" s="74"/>
    </row>
    <row r="851" spans="1:59" ht="14.4" x14ac:dyDescent="0.3">
      <c r="A851" s="44">
        <v>34</v>
      </c>
      <c r="B851" s="45" t="s">
        <v>885</v>
      </c>
      <c r="C851" s="46" t="s">
        <v>292</v>
      </c>
      <c r="D851" s="47" t="s">
        <v>886</v>
      </c>
      <c r="E851" s="48">
        <v>46200</v>
      </c>
      <c r="F851" s="49">
        <v>122496</v>
      </c>
      <c r="G851" s="45" t="s">
        <v>40</v>
      </c>
      <c r="H851" s="50">
        <v>0</v>
      </c>
      <c r="I851" s="49">
        <f>Lab[[#This Row],[qtySaldoAwalSem1]]*Lab[[#This Row],[hargaSatuan]]</f>
        <v>0</v>
      </c>
      <c r="J851" s="50">
        <v>34</v>
      </c>
      <c r="K851" s="51">
        <f>Lab[[#This Row],[qtyTerima2025]]*Lab[[#This Row],[hargaSatuan]]</f>
        <v>4164864</v>
      </c>
      <c r="L851" s="50">
        <v>0</v>
      </c>
      <c r="M851" s="51">
        <f>Lab[[#This Row],[qtyDist2025]]*Lab[[#This Row],[hargaSatuan]]</f>
        <v>0</v>
      </c>
      <c r="N851" s="50">
        <v>0</v>
      </c>
      <c r="O851" s="51">
        <f>Lab[[#This Row],[qtyEd2025]]*Lab[[#This Row],[hargaSatuan]]</f>
        <v>0</v>
      </c>
      <c r="P851" s="50">
        <f>Lab[[#This Row],[qtySaldoAwalSem1]]+Lab[[#This Row],[qtyTerima2025]]-(Lab[[#This Row],[qtyDist2025]]+Lab[[#This Row],[qtyEd2025]])</f>
        <v>34</v>
      </c>
      <c r="Q851" s="52">
        <f>Lab[[#This Row],[qtySaldoAkhir2025]]*Lab[[#This Row],[hargaSatuan]]</f>
        <v>4164864</v>
      </c>
      <c r="S851" s="32">
        <f t="shared" si="26"/>
        <v>4164864</v>
      </c>
      <c r="T851" s="32">
        <f t="shared" si="27"/>
        <v>0</v>
      </c>
      <c r="W851" s="74"/>
    </row>
    <row r="852" spans="1:59" ht="14.4" x14ac:dyDescent="0.3">
      <c r="A852" s="76">
        <v>35</v>
      </c>
      <c r="B852" s="45" t="s">
        <v>1000</v>
      </c>
      <c r="C852" s="46" t="s">
        <v>1001</v>
      </c>
      <c r="D852" s="47" t="s">
        <v>886</v>
      </c>
      <c r="E852" s="48" t="s">
        <v>1002</v>
      </c>
      <c r="F852" s="49">
        <v>109473</v>
      </c>
      <c r="G852" s="45" t="s">
        <v>40</v>
      </c>
      <c r="H852" s="50">
        <v>21</v>
      </c>
      <c r="I852" s="49">
        <f>Lab[[#This Row],[qtySaldoAwalSem1]]*Lab[[#This Row],[hargaSatuan]]</f>
        <v>2298933</v>
      </c>
      <c r="J852" s="50">
        <v>3</v>
      </c>
      <c r="K852" s="51">
        <f>Lab[[#This Row],[qtyTerima2025]]*Lab[[#This Row],[hargaSatuan]]</f>
        <v>328419</v>
      </c>
      <c r="L852" s="50">
        <v>9</v>
      </c>
      <c r="M852" s="51">
        <f>Lab[[#This Row],[qtyDist2025]]*Lab[[#This Row],[hargaSatuan]]</f>
        <v>985257</v>
      </c>
      <c r="N852" s="50">
        <v>0</v>
      </c>
      <c r="O852" s="51">
        <f>Lab[[#This Row],[qtyEd2025]]*Lab[[#This Row],[hargaSatuan]]</f>
        <v>0</v>
      </c>
      <c r="P852" s="50">
        <f>Lab[[#This Row],[qtySaldoAwalSem1]]+Lab[[#This Row],[qtyTerima2025]]-(Lab[[#This Row],[qtyDist2025]]+Lab[[#This Row],[qtyEd2025]])</f>
        <v>15</v>
      </c>
      <c r="Q852" s="52">
        <f>Lab[[#This Row],[qtySaldoAkhir2025]]*Lab[[#This Row],[hargaSatuan]]</f>
        <v>1642095</v>
      </c>
      <c r="S852" s="32">
        <f t="shared" si="26"/>
        <v>1642095</v>
      </c>
      <c r="T852" s="32">
        <f t="shared" si="27"/>
        <v>0</v>
      </c>
      <c r="W852" s="74"/>
    </row>
    <row r="853" spans="1:59" ht="14.4" x14ac:dyDescent="0.3">
      <c r="A853" s="44">
        <v>36</v>
      </c>
      <c r="B853" s="45" t="s">
        <v>1003</v>
      </c>
      <c r="C853" s="46" t="s">
        <v>752</v>
      </c>
      <c r="D853" s="47" t="s">
        <v>1004</v>
      </c>
      <c r="E853" s="68">
        <v>46905</v>
      </c>
      <c r="F853" s="49">
        <v>2200</v>
      </c>
      <c r="G853" s="45" t="s">
        <v>40</v>
      </c>
      <c r="H853" s="50">
        <v>6440</v>
      </c>
      <c r="I853" s="49">
        <f>Lab[[#This Row],[qtySaldoAwalSem1]]*Lab[[#This Row],[hargaSatuan]]</f>
        <v>14168000</v>
      </c>
      <c r="J853" s="50">
        <v>0</v>
      </c>
      <c r="K853" s="51">
        <f>Lab[[#This Row],[qtyTerima2025]]*Lab[[#This Row],[hargaSatuan]]</f>
        <v>0</v>
      </c>
      <c r="L853" s="50">
        <v>6440</v>
      </c>
      <c r="M853" s="51">
        <f>Lab[[#This Row],[qtyDist2025]]*Lab[[#This Row],[hargaSatuan]]</f>
        <v>14168000</v>
      </c>
      <c r="N853" s="50">
        <v>0</v>
      </c>
      <c r="O853" s="51">
        <f>Lab[[#This Row],[qtyEd2025]]*Lab[[#This Row],[hargaSatuan]]</f>
        <v>0</v>
      </c>
      <c r="P853" s="50">
        <f>Lab[[#This Row],[qtySaldoAwalSem1]]+Lab[[#This Row],[qtyTerima2025]]-(Lab[[#This Row],[qtyDist2025]]+Lab[[#This Row],[qtyEd2025]])</f>
        <v>0</v>
      </c>
      <c r="Q853" s="52">
        <f>Lab[[#This Row],[qtySaldoAkhir2025]]*Lab[[#This Row],[hargaSatuan]]</f>
        <v>0</v>
      </c>
      <c r="S853" s="32">
        <f t="shared" si="26"/>
        <v>0</v>
      </c>
      <c r="T853" s="32">
        <f t="shared" si="27"/>
        <v>0</v>
      </c>
    </row>
    <row r="854" spans="1:59" ht="14.4" x14ac:dyDescent="0.3">
      <c r="A854" s="76">
        <v>37</v>
      </c>
      <c r="B854" s="77" t="s">
        <v>1003</v>
      </c>
      <c r="C854" s="78" t="s">
        <v>752</v>
      </c>
      <c r="D854" s="79" t="s">
        <v>1005</v>
      </c>
      <c r="E854" s="80" t="s">
        <v>1006</v>
      </c>
      <c r="F854" s="81">
        <v>3040.3846153846152</v>
      </c>
      <c r="G854" s="77" t="s">
        <v>54</v>
      </c>
      <c r="H854" s="82">
        <v>2600</v>
      </c>
      <c r="I854" s="49">
        <f>Lab[[#This Row],[qtySaldoAwalSem1]]*Lab[[#This Row],[hargaSatuan]]</f>
        <v>7905000</v>
      </c>
      <c r="J854" s="82">
        <v>0</v>
      </c>
      <c r="K854" s="51">
        <f>Lab[[#This Row],[qtyTerima2025]]*Lab[[#This Row],[hargaSatuan]]</f>
        <v>0</v>
      </c>
      <c r="L854" s="82">
        <v>2600</v>
      </c>
      <c r="M854" s="51">
        <f>Lab[[#This Row],[qtyDist2025]]*Lab[[#This Row],[hargaSatuan]]</f>
        <v>7905000</v>
      </c>
      <c r="N854" s="82">
        <v>0</v>
      </c>
      <c r="O854" s="51">
        <f>Lab[[#This Row],[qtyEd2025]]*Lab[[#This Row],[hargaSatuan]]</f>
        <v>0</v>
      </c>
      <c r="P854" s="50">
        <f>Lab[[#This Row],[qtySaldoAwalSem1]]+Lab[[#This Row],[qtyTerima2025]]-(Lab[[#This Row],[qtyDist2025]]+Lab[[#This Row],[qtyEd2025]])</f>
        <v>0</v>
      </c>
      <c r="Q854" s="52">
        <f>Lab[[#This Row],[qtySaldoAkhir2025]]*Lab[[#This Row],[hargaSatuan]]</f>
        <v>0</v>
      </c>
      <c r="R854" s="74"/>
      <c r="S854" s="32">
        <f t="shared" si="26"/>
        <v>0</v>
      </c>
      <c r="T854" s="32">
        <f t="shared" si="27"/>
        <v>0</v>
      </c>
      <c r="U854" s="74"/>
      <c r="V854" s="74"/>
      <c r="W854" s="74"/>
      <c r="X854" s="74"/>
      <c r="Y854" s="74"/>
      <c r="Z854" s="74"/>
      <c r="AA854" s="74"/>
      <c r="AB854" s="74"/>
      <c r="AC854" s="74"/>
      <c r="AD854" s="74"/>
      <c r="AE854" s="74"/>
      <c r="AF854" s="74"/>
      <c r="AG854" s="74"/>
      <c r="AH854" s="74"/>
      <c r="AI854" s="74"/>
      <c r="AJ854" s="74"/>
      <c r="AK854" s="74"/>
      <c r="AL854" s="74"/>
      <c r="AM854" s="74"/>
      <c r="AN854" s="74"/>
      <c r="AO854" s="74"/>
      <c r="AP854" s="74"/>
      <c r="AQ854" s="74"/>
      <c r="AR854" s="74"/>
      <c r="AS854" s="74"/>
      <c r="AT854" s="74"/>
      <c r="AU854" s="74"/>
      <c r="AV854" s="74"/>
      <c r="AW854" s="74"/>
      <c r="AX854" s="74"/>
      <c r="AY854" s="74"/>
      <c r="AZ854" s="74"/>
      <c r="BA854" s="74"/>
      <c r="BB854" s="74"/>
      <c r="BC854" s="74"/>
      <c r="BD854" s="74"/>
      <c r="BE854" s="74"/>
      <c r="BF854" s="74"/>
      <c r="BG854" s="74"/>
    </row>
    <row r="855" spans="1:59" ht="14.4" x14ac:dyDescent="0.3">
      <c r="A855" s="44">
        <v>38</v>
      </c>
      <c r="B855" s="77" t="s">
        <v>1003</v>
      </c>
      <c r="C855" s="78" t="s">
        <v>752</v>
      </c>
      <c r="D855" s="79">
        <v>14112388</v>
      </c>
      <c r="E855" s="80" t="s">
        <v>1007</v>
      </c>
      <c r="F855" s="81">
        <v>2147</v>
      </c>
      <c r="G855" s="77" t="s">
        <v>40</v>
      </c>
      <c r="H855" s="82">
        <v>600</v>
      </c>
      <c r="I855" s="49">
        <f>Lab[[#This Row],[qtySaldoAwalSem1]]*Lab[[#This Row],[hargaSatuan]]</f>
        <v>1288200</v>
      </c>
      <c r="J855" s="82">
        <v>1800</v>
      </c>
      <c r="K855" s="51">
        <f>Lab[[#This Row],[qtyTerima2025]]*Lab[[#This Row],[hargaSatuan]]</f>
        <v>3864600</v>
      </c>
      <c r="L855" s="82">
        <v>2400</v>
      </c>
      <c r="M855" s="51">
        <f>Lab[[#This Row],[qtyDist2025]]*Lab[[#This Row],[hargaSatuan]]</f>
        <v>5152800</v>
      </c>
      <c r="N855" s="82">
        <v>0</v>
      </c>
      <c r="O855" s="51">
        <f>Lab[[#This Row],[qtyEd2025]]*Lab[[#This Row],[hargaSatuan]]</f>
        <v>0</v>
      </c>
      <c r="P855" s="50">
        <f>Lab[[#This Row],[qtySaldoAwalSem1]]+Lab[[#This Row],[qtyTerima2025]]-(Lab[[#This Row],[qtyDist2025]]+Lab[[#This Row],[qtyEd2025]])</f>
        <v>0</v>
      </c>
      <c r="Q855" s="52">
        <f>Lab[[#This Row],[qtySaldoAkhir2025]]*Lab[[#This Row],[hargaSatuan]]</f>
        <v>0</v>
      </c>
      <c r="R855" s="74"/>
      <c r="S855" s="32">
        <f t="shared" si="26"/>
        <v>0</v>
      </c>
      <c r="T855" s="32">
        <f t="shared" si="27"/>
        <v>0</v>
      </c>
      <c r="U855" s="74"/>
      <c r="V855" s="74"/>
      <c r="W855" s="74"/>
      <c r="X855" s="74"/>
      <c r="Y855" s="74"/>
      <c r="Z855" s="74"/>
      <c r="AA855" s="74"/>
      <c r="AB855" s="74"/>
      <c r="AC855" s="74"/>
      <c r="AD855" s="74"/>
      <c r="AE855" s="74"/>
      <c r="AF855" s="74"/>
      <c r="AG855" s="74"/>
      <c r="AH855" s="74"/>
      <c r="AI855" s="74"/>
      <c r="AJ855" s="74"/>
      <c r="AK855" s="74"/>
      <c r="AL855" s="74"/>
      <c r="AM855" s="74"/>
      <c r="AN855" s="74"/>
      <c r="AO855" s="74"/>
      <c r="AP855" s="74"/>
      <c r="AQ855" s="74"/>
      <c r="AR855" s="74"/>
      <c r="AS855" s="74"/>
      <c r="AT855" s="74"/>
      <c r="AU855" s="74"/>
      <c r="AV855" s="74"/>
      <c r="AW855" s="74"/>
      <c r="AX855" s="74"/>
      <c r="AY855" s="74"/>
      <c r="AZ855" s="74"/>
      <c r="BA855" s="74"/>
      <c r="BB855" s="74"/>
      <c r="BC855" s="74"/>
      <c r="BD855" s="74"/>
      <c r="BE855" s="74"/>
      <c r="BF855" s="74"/>
      <c r="BG855" s="74"/>
    </row>
    <row r="856" spans="1:59" ht="14.4" x14ac:dyDescent="0.3">
      <c r="A856" s="76">
        <v>39</v>
      </c>
      <c r="B856" s="77" t="s">
        <v>1003</v>
      </c>
      <c r="C856" s="78" t="s">
        <v>752</v>
      </c>
      <c r="D856" s="79" t="s">
        <v>1008</v>
      </c>
      <c r="E856" s="80" t="s">
        <v>1007</v>
      </c>
      <c r="F856" s="81">
        <v>2200</v>
      </c>
      <c r="G856" s="77" t="s">
        <v>40</v>
      </c>
      <c r="H856" s="82">
        <v>0</v>
      </c>
      <c r="I856" s="49">
        <f>Lab[[#This Row],[qtySaldoAwalSem1]]*Lab[[#This Row],[hargaSatuan]]</f>
        <v>0</v>
      </c>
      <c r="J856" s="82">
        <v>1200</v>
      </c>
      <c r="K856" s="51">
        <f>Lab[[#This Row],[qtyTerima2025]]*Lab[[#This Row],[hargaSatuan]]</f>
        <v>2640000</v>
      </c>
      <c r="L856" s="82">
        <v>1200</v>
      </c>
      <c r="M856" s="51">
        <f>Lab[[#This Row],[qtyDist2025]]*Lab[[#This Row],[hargaSatuan]]</f>
        <v>2640000</v>
      </c>
      <c r="N856" s="82">
        <v>0</v>
      </c>
      <c r="O856" s="51">
        <f>Lab[[#This Row],[qtyEd2025]]*Lab[[#This Row],[hargaSatuan]]</f>
        <v>0</v>
      </c>
      <c r="P856" s="50">
        <f>Lab[[#This Row],[qtySaldoAwalSem1]]+Lab[[#This Row],[qtyTerima2025]]-(Lab[[#This Row],[qtyDist2025]]+Lab[[#This Row],[qtyEd2025]])</f>
        <v>0</v>
      </c>
      <c r="Q856" s="52">
        <f>Lab[[#This Row],[qtySaldoAkhir2025]]*Lab[[#This Row],[hargaSatuan]]</f>
        <v>0</v>
      </c>
      <c r="R856" s="74"/>
      <c r="S856" s="32">
        <f t="shared" si="26"/>
        <v>0</v>
      </c>
      <c r="T856" s="32">
        <f t="shared" si="27"/>
        <v>0</v>
      </c>
      <c r="U856" s="74"/>
      <c r="V856" s="74"/>
      <c r="X856" s="74"/>
      <c r="Y856" s="74"/>
      <c r="Z856" s="74"/>
      <c r="AA856" s="74"/>
      <c r="AB856" s="74"/>
      <c r="AC856" s="74"/>
      <c r="AD856" s="74"/>
      <c r="AE856" s="74"/>
      <c r="AF856" s="74"/>
      <c r="AG856" s="74"/>
      <c r="AH856" s="74"/>
      <c r="AI856" s="74"/>
      <c r="AJ856" s="74"/>
      <c r="AK856" s="74"/>
      <c r="AL856" s="74"/>
      <c r="AM856" s="74"/>
      <c r="AN856" s="74"/>
      <c r="AO856" s="74"/>
      <c r="AP856" s="74"/>
      <c r="AQ856" s="74"/>
      <c r="AR856" s="74"/>
      <c r="AS856" s="74"/>
      <c r="AT856" s="74"/>
      <c r="AU856" s="74"/>
      <c r="AV856" s="74"/>
      <c r="AW856" s="74"/>
      <c r="AX856" s="74"/>
      <c r="AY856" s="74"/>
      <c r="AZ856" s="74"/>
      <c r="BA856" s="74"/>
      <c r="BB856" s="74"/>
      <c r="BC856" s="74"/>
      <c r="BD856" s="74"/>
      <c r="BE856" s="74"/>
      <c r="BF856" s="74"/>
      <c r="BG856" s="74"/>
    </row>
    <row r="857" spans="1:59" ht="14.4" x14ac:dyDescent="0.3">
      <c r="A857" s="44">
        <v>40</v>
      </c>
      <c r="B857" s="45" t="s">
        <v>1003</v>
      </c>
      <c r="C857" s="46" t="s">
        <v>752</v>
      </c>
      <c r="D857" s="47">
        <v>15082588</v>
      </c>
      <c r="E857" s="68">
        <v>47665</v>
      </c>
      <c r="F857" s="49">
        <v>1280</v>
      </c>
      <c r="G857" s="45" t="s">
        <v>40</v>
      </c>
      <c r="H857" s="50">
        <v>0</v>
      </c>
      <c r="I857" s="49">
        <f>Lab[[#This Row],[qtySaldoAwalSem1]]*Lab[[#This Row],[hargaSatuan]]</f>
        <v>0</v>
      </c>
      <c r="J857" s="50">
        <v>25200</v>
      </c>
      <c r="K857" s="51">
        <f>Lab[[#This Row],[qtyTerima2025]]*Lab[[#This Row],[hargaSatuan]]</f>
        <v>32256000</v>
      </c>
      <c r="L857" s="50">
        <v>4620</v>
      </c>
      <c r="M857" s="51">
        <f>Lab[[#This Row],[qtyDist2025]]*Lab[[#This Row],[hargaSatuan]]</f>
        <v>5913600</v>
      </c>
      <c r="N857" s="50">
        <v>0</v>
      </c>
      <c r="O857" s="51">
        <f>Lab[[#This Row],[qtyEd2025]]*Lab[[#This Row],[hargaSatuan]]</f>
        <v>0</v>
      </c>
      <c r="P857" s="50">
        <f>Lab[[#This Row],[qtySaldoAwalSem1]]+Lab[[#This Row],[qtyTerima2025]]-(Lab[[#This Row],[qtyDist2025]]+Lab[[#This Row],[qtyEd2025]])</f>
        <v>20580</v>
      </c>
      <c r="Q857" s="52">
        <f>Lab[[#This Row],[qtySaldoAkhir2025]]*Lab[[#This Row],[hargaSatuan]]</f>
        <v>26342400</v>
      </c>
      <c r="S857" s="32">
        <f t="shared" si="26"/>
        <v>26342400</v>
      </c>
      <c r="T857" s="32">
        <f t="shared" si="27"/>
        <v>0</v>
      </c>
    </row>
    <row r="858" spans="1:59" ht="14.4" x14ac:dyDescent="0.3">
      <c r="A858" s="76">
        <v>41</v>
      </c>
      <c r="B858" s="77" t="s">
        <v>1009</v>
      </c>
      <c r="C858" s="78" t="s">
        <v>752</v>
      </c>
      <c r="D858" s="79">
        <v>6112388</v>
      </c>
      <c r="E858" s="80" t="s">
        <v>1007</v>
      </c>
      <c r="F858" s="81">
        <v>1914.75</v>
      </c>
      <c r="G858" s="77" t="s">
        <v>17</v>
      </c>
      <c r="H858" s="82">
        <v>925</v>
      </c>
      <c r="I858" s="49">
        <f>Lab[[#This Row],[qtySaldoAwalSem1]]*Lab[[#This Row],[hargaSatuan]]</f>
        <v>1771143.75</v>
      </c>
      <c r="J858" s="82">
        <v>0</v>
      </c>
      <c r="K858" s="51">
        <f>Lab[[#This Row],[qtyTerima2025]]*Lab[[#This Row],[hargaSatuan]]</f>
        <v>0</v>
      </c>
      <c r="L858" s="82">
        <v>925</v>
      </c>
      <c r="M858" s="51">
        <f>Lab[[#This Row],[qtyDist2025]]*Lab[[#This Row],[hargaSatuan]]</f>
        <v>1771143.75</v>
      </c>
      <c r="N858" s="82">
        <v>0</v>
      </c>
      <c r="O858" s="51">
        <f>Lab[[#This Row],[qtyEd2025]]*Lab[[#This Row],[hargaSatuan]]</f>
        <v>0</v>
      </c>
      <c r="P858" s="50">
        <f>Lab[[#This Row],[qtySaldoAwalSem1]]+Lab[[#This Row],[qtyTerima2025]]-(Lab[[#This Row],[qtyDist2025]]+Lab[[#This Row],[qtyEd2025]])</f>
        <v>0</v>
      </c>
      <c r="Q858" s="52">
        <f>Lab[[#This Row],[qtySaldoAkhir2025]]*Lab[[#This Row],[hargaSatuan]]</f>
        <v>0</v>
      </c>
      <c r="R858" s="74"/>
      <c r="S858" s="32">
        <f t="shared" si="26"/>
        <v>0</v>
      </c>
      <c r="T858" s="32">
        <f t="shared" si="27"/>
        <v>0</v>
      </c>
      <c r="U858" s="74"/>
      <c r="V858" s="74"/>
      <c r="X858" s="74"/>
      <c r="Y858" s="74"/>
      <c r="Z858" s="74"/>
      <c r="AA858" s="74"/>
      <c r="AB858" s="74"/>
      <c r="AC858" s="74"/>
      <c r="AD858" s="74"/>
      <c r="AE858" s="74"/>
      <c r="AF858" s="74"/>
      <c r="AG858" s="74"/>
      <c r="AH858" s="74"/>
      <c r="AI858" s="74"/>
      <c r="AJ858" s="74"/>
      <c r="AK858" s="74"/>
      <c r="AL858" s="74"/>
      <c r="AM858" s="74"/>
      <c r="AN858" s="74"/>
      <c r="AO858" s="74"/>
      <c r="AP858" s="74"/>
      <c r="AQ858" s="74"/>
      <c r="AR858" s="74"/>
      <c r="AS858" s="74"/>
      <c r="AT858" s="74"/>
      <c r="AU858" s="74"/>
      <c r="AV858" s="74"/>
      <c r="AW858" s="74"/>
      <c r="AX858" s="74"/>
      <c r="AY858" s="74"/>
      <c r="AZ858" s="74"/>
      <c r="BA858" s="74"/>
      <c r="BB858" s="74"/>
      <c r="BC858" s="74"/>
      <c r="BD858" s="74"/>
      <c r="BE858" s="74"/>
      <c r="BF858" s="74"/>
      <c r="BG858" s="74"/>
    </row>
    <row r="859" spans="1:59" ht="14.4" x14ac:dyDescent="0.3">
      <c r="A859" s="44">
        <v>42</v>
      </c>
      <c r="B859" s="77" t="s">
        <v>1009</v>
      </c>
      <c r="C859" s="78" t="s">
        <v>752</v>
      </c>
      <c r="D859" s="79" t="s">
        <v>1010</v>
      </c>
      <c r="E859" s="80" t="s">
        <v>1006</v>
      </c>
      <c r="F859" s="81">
        <v>2713.3333333333335</v>
      </c>
      <c r="G859" s="77" t="s">
        <v>54</v>
      </c>
      <c r="H859" s="82">
        <v>50</v>
      </c>
      <c r="I859" s="49">
        <f>Lab[[#This Row],[qtySaldoAwalSem1]]*Lab[[#This Row],[hargaSatuan]]</f>
        <v>135666.66666666669</v>
      </c>
      <c r="J859" s="82">
        <v>0</v>
      </c>
      <c r="K859" s="51">
        <f>Lab[[#This Row],[qtyTerima2025]]*Lab[[#This Row],[hargaSatuan]]</f>
        <v>0</v>
      </c>
      <c r="L859" s="82">
        <v>50</v>
      </c>
      <c r="M859" s="51">
        <f>Lab[[#This Row],[qtyDist2025]]*Lab[[#This Row],[hargaSatuan]]</f>
        <v>135666.66666666669</v>
      </c>
      <c r="N859" s="82">
        <v>0</v>
      </c>
      <c r="O859" s="51">
        <f>Lab[[#This Row],[qtyEd2025]]*Lab[[#This Row],[hargaSatuan]]</f>
        <v>0</v>
      </c>
      <c r="P859" s="50">
        <f>Lab[[#This Row],[qtySaldoAwalSem1]]+Lab[[#This Row],[qtyTerima2025]]-(Lab[[#This Row],[qtyDist2025]]+Lab[[#This Row],[qtyEd2025]])</f>
        <v>0</v>
      </c>
      <c r="Q859" s="52">
        <f>Lab[[#This Row],[qtySaldoAkhir2025]]*Lab[[#This Row],[hargaSatuan]]</f>
        <v>0</v>
      </c>
      <c r="R859" s="74"/>
      <c r="S859" s="32">
        <f t="shared" si="26"/>
        <v>0</v>
      </c>
      <c r="T859" s="32">
        <f t="shared" si="27"/>
        <v>0</v>
      </c>
      <c r="U859" s="74"/>
      <c r="V859" s="74"/>
      <c r="X859" s="74"/>
      <c r="Y859" s="74"/>
      <c r="Z859" s="74"/>
      <c r="AA859" s="74"/>
      <c r="AB859" s="74"/>
      <c r="AC859" s="74"/>
      <c r="AD859" s="74"/>
      <c r="AE859" s="74"/>
      <c r="AF859" s="74"/>
      <c r="AG859" s="74"/>
      <c r="AH859" s="74"/>
      <c r="AI859" s="74"/>
      <c r="AJ859" s="74"/>
      <c r="AK859" s="74"/>
      <c r="AL859" s="74"/>
      <c r="AM859" s="74"/>
      <c r="AN859" s="74"/>
      <c r="AO859" s="74"/>
      <c r="AP859" s="74"/>
      <c r="AQ859" s="74"/>
      <c r="AR859" s="74"/>
      <c r="AS859" s="74"/>
      <c r="AT859" s="74"/>
      <c r="AU859" s="74"/>
      <c r="AV859" s="74"/>
      <c r="AW859" s="74"/>
      <c r="AX859" s="74"/>
      <c r="AY859" s="74"/>
      <c r="AZ859" s="74"/>
      <c r="BA859" s="74"/>
      <c r="BB859" s="74"/>
      <c r="BC859" s="74"/>
      <c r="BD859" s="74"/>
      <c r="BE859" s="74"/>
      <c r="BF859" s="74"/>
      <c r="BG859" s="74"/>
    </row>
    <row r="860" spans="1:59" ht="14.4" x14ac:dyDescent="0.3">
      <c r="A860" s="76">
        <v>43</v>
      </c>
      <c r="B860" s="45" t="s">
        <v>1011</v>
      </c>
      <c r="C860" s="46" t="s">
        <v>962</v>
      </c>
      <c r="D860" s="47" t="s">
        <v>1012</v>
      </c>
      <c r="E860" s="48">
        <v>46228</v>
      </c>
      <c r="F860" s="49">
        <v>64998</v>
      </c>
      <c r="G860" s="45" t="s">
        <v>40</v>
      </c>
      <c r="H860" s="50">
        <v>100</v>
      </c>
      <c r="I860" s="49">
        <f>Lab[[#This Row],[qtySaldoAwalSem1]]*Lab[[#This Row],[hargaSatuan]]</f>
        <v>6499800</v>
      </c>
      <c r="J860" s="50">
        <v>0</v>
      </c>
      <c r="K860" s="51">
        <f>Lab[[#This Row],[qtyTerima2025]]*Lab[[#This Row],[hargaSatuan]]</f>
        <v>0</v>
      </c>
      <c r="L860" s="75">
        <v>0</v>
      </c>
      <c r="M860" s="51">
        <f>Lab[[#This Row],[qtyDist2025]]*Lab[[#This Row],[hargaSatuan]]</f>
        <v>0</v>
      </c>
      <c r="N860" s="75">
        <v>100</v>
      </c>
      <c r="O860" s="51">
        <f>Lab[[#This Row],[qtyEd2025]]*Lab[[#This Row],[hargaSatuan]]</f>
        <v>6499800</v>
      </c>
      <c r="P860" s="50">
        <f>Lab[[#This Row],[qtySaldoAwalSem1]]+Lab[[#This Row],[qtyTerima2025]]-(Lab[[#This Row],[qtyDist2025]]+Lab[[#This Row],[qtyEd2025]])</f>
        <v>0</v>
      </c>
      <c r="Q860" s="52">
        <f>Lab[[#This Row],[qtySaldoAkhir2025]]*Lab[[#This Row],[hargaSatuan]]</f>
        <v>0</v>
      </c>
      <c r="S860" s="32">
        <f t="shared" si="26"/>
        <v>0</v>
      </c>
      <c r="T860" s="32">
        <f t="shared" si="27"/>
        <v>0</v>
      </c>
    </row>
    <row r="861" spans="1:59" ht="14.4" x14ac:dyDescent="0.3">
      <c r="A861" s="44">
        <v>44</v>
      </c>
      <c r="B861" s="45" t="s">
        <v>1013</v>
      </c>
      <c r="C861" s="46" t="s">
        <v>962</v>
      </c>
      <c r="D861" s="47" t="s">
        <v>1014</v>
      </c>
      <c r="E861" s="48">
        <v>46080</v>
      </c>
      <c r="F861" s="49">
        <v>16283.018867924528</v>
      </c>
      <c r="G861" s="45" t="s">
        <v>36</v>
      </c>
      <c r="H861" s="50">
        <v>0</v>
      </c>
      <c r="I861" s="49">
        <f>Lab[[#This Row],[qtySaldoAwalSem1]]*Lab[[#This Row],[hargaSatuan]]</f>
        <v>0</v>
      </c>
      <c r="J861" s="50">
        <v>10600</v>
      </c>
      <c r="K861" s="51">
        <f>Lab[[#This Row],[qtyTerima2025]]*Lab[[#This Row],[hargaSatuan]]</f>
        <v>172600000</v>
      </c>
      <c r="L861" s="50">
        <v>4825</v>
      </c>
      <c r="M861" s="51">
        <f>Lab[[#This Row],[qtyDist2025]]*Lab[[#This Row],[hargaSatuan]]</f>
        <v>78565566.03773585</v>
      </c>
      <c r="N861" s="50">
        <v>0</v>
      </c>
      <c r="O861" s="51">
        <f>Lab[[#This Row],[qtyEd2025]]*Lab[[#This Row],[hargaSatuan]]</f>
        <v>0</v>
      </c>
      <c r="P861" s="50">
        <f>Lab[[#This Row],[qtySaldoAwalSem1]]+Lab[[#This Row],[qtyTerima2025]]-(Lab[[#This Row],[qtyDist2025]]+Lab[[#This Row],[qtyEd2025]])</f>
        <v>5775</v>
      </c>
      <c r="Q861" s="52">
        <f>Lab[[#This Row],[qtySaldoAkhir2025]]*Lab[[#This Row],[hargaSatuan]]</f>
        <v>94034433.96226415</v>
      </c>
      <c r="S861" s="32">
        <f t="shared" si="26"/>
        <v>94034433.96226415</v>
      </c>
      <c r="T861" s="32">
        <f t="shared" si="27"/>
        <v>0</v>
      </c>
    </row>
    <row r="862" spans="1:59" ht="14.4" x14ac:dyDescent="0.3">
      <c r="A862" s="76">
        <v>45</v>
      </c>
      <c r="B862" s="45" t="s">
        <v>1015</v>
      </c>
      <c r="C862" s="46" t="s">
        <v>962</v>
      </c>
      <c r="D862" s="47">
        <v>241125</v>
      </c>
      <c r="E862" s="48">
        <v>46353</v>
      </c>
      <c r="F862" s="49">
        <v>12745.22012</v>
      </c>
      <c r="G862" s="45" t="s">
        <v>36</v>
      </c>
      <c r="H862" s="50">
        <v>0</v>
      </c>
      <c r="I862" s="49">
        <f>Lab[[#This Row],[qtySaldoAwalSem1]]*Lab[[#This Row],[hargaSatuan]]</f>
        <v>0</v>
      </c>
      <c r="J862" s="50">
        <v>8600</v>
      </c>
      <c r="K862" s="51">
        <f>Lab[[#This Row],[qtyTerima2025]]*Lab[[#This Row],[hargaSatuan]]</f>
        <v>109608893.03200001</v>
      </c>
      <c r="L862" s="50">
        <v>0</v>
      </c>
      <c r="M862" s="51">
        <f>Lab[[#This Row],[qtyDist2025]]*Lab[[#This Row],[hargaSatuan]]</f>
        <v>0</v>
      </c>
      <c r="N862" s="50">
        <v>0</v>
      </c>
      <c r="O862" s="51">
        <f>Lab[[#This Row],[qtyEd2025]]*Lab[[#This Row],[hargaSatuan]]</f>
        <v>0</v>
      </c>
      <c r="P862" s="50">
        <f>Lab[[#This Row],[qtySaldoAwalSem1]]+Lab[[#This Row],[qtyTerima2025]]-(Lab[[#This Row],[qtyDist2025]]+Lab[[#This Row],[qtyEd2025]])</f>
        <v>8600</v>
      </c>
      <c r="Q862" s="52">
        <f>Lab[[#This Row],[qtySaldoAkhir2025]]*Lab[[#This Row],[hargaSatuan]]</f>
        <v>109608893.03200001</v>
      </c>
      <c r="S862" s="32">
        <f t="shared" si="26"/>
        <v>109608893.03200001</v>
      </c>
      <c r="T862" s="32">
        <f t="shared" si="27"/>
        <v>0</v>
      </c>
    </row>
    <row r="863" spans="1:59" ht="28.8" x14ac:dyDescent="0.3">
      <c r="A863" s="44">
        <v>46</v>
      </c>
      <c r="B863" s="45" t="s">
        <v>1016</v>
      </c>
      <c r="C863" s="46" t="s">
        <v>962</v>
      </c>
      <c r="D863" s="47" t="s">
        <v>1017</v>
      </c>
      <c r="E863" s="48">
        <v>46138</v>
      </c>
      <c r="F863" s="49">
        <v>36943</v>
      </c>
      <c r="G863" s="45" t="s">
        <v>40</v>
      </c>
      <c r="H863" s="50">
        <v>0</v>
      </c>
      <c r="I863" s="49">
        <f>Lab[[#This Row],[qtySaldoAwalSem1]]*Lab[[#This Row],[hargaSatuan]]</f>
        <v>0</v>
      </c>
      <c r="J863" s="50">
        <v>650</v>
      </c>
      <c r="K863" s="51">
        <f>Lab[[#This Row],[qtyTerima2025]]*Lab[[#This Row],[hargaSatuan]]</f>
        <v>24012950</v>
      </c>
      <c r="L863" s="50">
        <v>650</v>
      </c>
      <c r="M863" s="51">
        <f>Lab[[#This Row],[qtyDist2025]]*Lab[[#This Row],[hargaSatuan]]</f>
        <v>24012950</v>
      </c>
      <c r="N863" s="50">
        <v>0</v>
      </c>
      <c r="O863" s="51">
        <f>Lab[[#This Row],[qtyEd2025]]*Lab[[#This Row],[hargaSatuan]]</f>
        <v>0</v>
      </c>
      <c r="P863" s="50">
        <f>Lab[[#This Row],[qtySaldoAwalSem1]]+Lab[[#This Row],[qtyTerima2025]]-(Lab[[#This Row],[qtyDist2025]]+Lab[[#This Row],[qtyEd2025]])</f>
        <v>0</v>
      </c>
      <c r="Q863" s="52">
        <f>Lab[[#This Row],[qtySaldoAkhir2025]]*Lab[[#This Row],[hargaSatuan]]</f>
        <v>0</v>
      </c>
      <c r="S863" s="32">
        <f t="shared" si="26"/>
        <v>0</v>
      </c>
      <c r="T863" s="32">
        <f t="shared" si="27"/>
        <v>0</v>
      </c>
    </row>
    <row r="864" spans="1:59" ht="28.8" x14ac:dyDescent="0.3">
      <c r="A864" s="76">
        <v>47</v>
      </c>
      <c r="B864" s="45" t="s">
        <v>1016</v>
      </c>
      <c r="C864" s="46" t="s">
        <v>962</v>
      </c>
      <c r="D864" s="47" t="s">
        <v>1018</v>
      </c>
      <c r="E864" s="48" t="s">
        <v>999</v>
      </c>
      <c r="F864" s="49">
        <v>37500</v>
      </c>
      <c r="G864" s="45" t="s">
        <v>40</v>
      </c>
      <c r="H864" s="50">
        <v>0</v>
      </c>
      <c r="I864" s="49">
        <f>Lab[[#This Row],[qtySaldoAwalSem1]]*Lab[[#This Row],[hargaSatuan]]</f>
        <v>0</v>
      </c>
      <c r="J864" s="50">
        <v>650</v>
      </c>
      <c r="K864" s="51">
        <f>Lab[[#This Row],[qtyTerima2025]]*Lab[[#This Row],[hargaSatuan]]</f>
        <v>24375000</v>
      </c>
      <c r="L864" s="50">
        <v>220</v>
      </c>
      <c r="M864" s="51">
        <f>Lab[[#This Row],[qtyDist2025]]*Lab[[#This Row],[hargaSatuan]]</f>
        <v>8250000</v>
      </c>
      <c r="N864" s="50">
        <v>0</v>
      </c>
      <c r="O864" s="51">
        <f>Lab[[#This Row],[qtyEd2025]]*Lab[[#This Row],[hargaSatuan]]</f>
        <v>0</v>
      </c>
      <c r="P864" s="50">
        <f>Lab[[#This Row],[qtySaldoAwalSem1]]+Lab[[#This Row],[qtyTerima2025]]-(Lab[[#This Row],[qtyDist2025]]+Lab[[#This Row],[qtyEd2025]])</f>
        <v>430</v>
      </c>
      <c r="Q864" s="52">
        <f>Lab[[#This Row],[qtySaldoAkhir2025]]*Lab[[#This Row],[hargaSatuan]]</f>
        <v>16125000</v>
      </c>
      <c r="S864" s="32">
        <f t="shared" si="26"/>
        <v>16125000</v>
      </c>
      <c r="T864" s="32">
        <f t="shared" si="27"/>
        <v>0</v>
      </c>
    </row>
    <row r="865" spans="1:59" ht="14.4" x14ac:dyDescent="0.3">
      <c r="A865" s="44">
        <v>48</v>
      </c>
      <c r="B865" s="45" t="s">
        <v>1019</v>
      </c>
      <c r="C865" s="46" t="s">
        <v>962</v>
      </c>
      <c r="D865" s="47" t="s">
        <v>1020</v>
      </c>
      <c r="E865" s="48" t="s">
        <v>1021</v>
      </c>
      <c r="F865" s="49">
        <v>37670</v>
      </c>
      <c r="G865" s="45" t="s">
        <v>40</v>
      </c>
      <c r="H865" s="50">
        <v>630</v>
      </c>
      <c r="I865" s="49">
        <f>Lab[[#This Row],[qtySaldoAwalSem1]]*Lab[[#This Row],[hargaSatuan]]</f>
        <v>23732100</v>
      </c>
      <c r="J865" s="50">
        <v>0</v>
      </c>
      <c r="K865" s="51">
        <f>Lab[[#This Row],[qtyTerima2025]]*Lab[[#This Row],[hargaSatuan]]</f>
        <v>0</v>
      </c>
      <c r="L865" s="50">
        <v>630</v>
      </c>
      <c r="M865" s="51">
        <f>Lab[[#This Row],[qtyDist2025]]*Lab[[#This Row],[hargaSatuan]]</f>
        <v>23732100</v>
      </c>
      <c r="N865" s="50">
        <v>0</v>
      </c>
      <c r="O865" s="51">
        <f>Lab[[#This Row],[qtyEd2025]]*Lab[[#This Row],[hargaSatuan]]</f>
        <v>0</v>
      </c>
      <c r="P865" s="50">
        <f>Lab[[#This Row],[qtySaldoAwalSem1]]+Lab[[#This Row],[qtyTerima2025]]-(Lab[[#This Row],[qtyDist2025]]+Lab[[#This Row],[qtyEd2025]])</f>
        <v>0</v>
      </c>
      <c r="Q865" s="52">
        <f>Lab[[#This Row],[qtySaldoAkhir2025]]*Lab[[#This Row],[hargaSatuan]]</f>
        <v>0</v>
      </c>
      <c r="S865" s="32">
        <f t="shared" si="26"/>
        <v>0</v>
      </c>
      <c r="T865" s="32">
        <f t="shared" si="27"/>
        <v>0</v>
      </c>
    </row>
    <row r="866" spans="1:59" ht="14.4" x14ac:dyDescent="0.3">
      <c r="A866" s="76">
        <v>49</v>
      </c>
      <c r="B866" s="45" t="s">
        <v>1019</v>
      </c>
      <c r="C866" s="46" t="s">
        <v>120</v>
      </c>
      <c r="D866" s="47" t="s">
        <v>1022</v>
      </c>
      <c r="E866" s="48" t="s">
        <v>1021</v>
      </c>
      <c r="F866" s="49">
        <v>37670</v>
      </c>
      <c r="G866" s="45" t="s">
        <v>40</v>
      </c>
      <c r="H866" s="50">
        <v>0</v>
      </c>
      <c r="I866" s="49">
        <f>Lab[[#This Row],[qtySaldoAwalSem1]]*Lab[[#This Row],[hargaSatuan]]</f>
        <v>0</v>
      </c>
      <c r="J866" s="50">
        <v>300</v>
      </c>
      <c r="K866" s="51">
        <f>Lab[[#This Row],[qtyTerima2025]]*Lab[[#This Row],[hargaSatuan]]</f>
        <v>11301000</v>
      </c>
      <c r="L866" s="50">
        <v>280</v>
      </c>
      <c r="M866" s="51">
        <f>Lab[[#This Row],[qtyDist2025]]*Lab[[#This Row],[hargaSatuan]]</f>
        <v>10547600</v>
      </c>
      <c r="N866" s="50">
        <v>20</v>
      </c>
      <c r="O866" s="51">
        <f>Lab[[#This Row],[qtyEd2025]]*Lab[[#This Row],[hargaSatuan]]</f>
        <v>753400</v>
      </c>
      <c r="P866" s="50">
        <f>Lab[[#This Row],[qtySaldoAwalSem1]]+Lab[[#This Row],[qtyTerima2025]]-(Lab[[#This Row],[qtyDist2025]]+Lab[[#This Row],[qtyEd2025]])</f>
        <v>0</v>
      </c>
      <c r="Q866" s="52">
        <f>Lab[[#This Row],[qtySaldoAkhir2025]]*Lab[[#This Row],[hargaSatuan]]</f>
        <v>0</v>
      </c>
      <c r="S866" s="32">
        <f t="shared" si="26"/>
        <v>0</v>
      </c>
      <c r="T866" s="32">
        <f t="shared" si="27"/>
        <v>0</v>
      </c>
    </row>
    <row r="867" spans="1:59" ht="14.4" x14ac:dyDescent="0.3">
      <c r="A867" s="44">
        <v>50</v>
      </c>
      <c r="B867" s="45" t="s">
        <v>1023</v>
      </c>
      <c r="C867" s="46" t="s">
        <v>120</v>
      </c>
      <c r="D867" s="47" t="s">
        <v>1024</v>
      </c>
      <c r="E867" s="48" t="s">
        <v>982</v>
      </c>
      <c r="F867" s="49">
        <v>389215</v>
      </c>
      <c r="G867" s="45" t="s">
        <v>40</v>
      </c>
      <c r="H867" s="50">
        <v>0</v>
      </c>
      <c r="I867" s="49">
        <f>Lab[[#This Row],[qtySaldoAwalSem1]]*Lab[[#This Row],[hargaSatuan]]</f>
        <v>0</v>
      </c>
      <c r="J867" s="50">
        <v>47</v>
      </c>
      <c r="K867" s="51">
        <f>Lab[[#This Row],[qtyTerima2025]]*Lab[[#This Row],[hargaSatuan]]</f>
        <v>18293105</v>
      </c>
      <c r="L867" s="50">
        <v>34</v>
      </c>
      <c r="M867" s="51">
        <f>Lab[[#This Row],[qtyDist2025]]*Lab[[#This Row],[hargaSatuan]]</f>
        <v>13233310</v>
      </c>
      <c r="N867" s="50">
        <v>0</v>
      </c>
      <c r="O867" s="51">
        <f>Lab[[#This Row],[qtyEd2025]]*Lab[[#This Row],[hargaSatuan]]</f>
        <v>0</v>
      </c>
      <c r="P867" s="50">
        <f>Lab[[#This Row],[qtySaldoAwalSem1]]+Lab[[#This Row],[qtyTerima2025]]-(Lab[[#This Row],[qtyDist2025]]+Lab[[#This Row],[qtyEd2025]])</f>
        <v>13</v>
      </c>
      <c r="Q867" s="52">
        <f>Lab[[#This Row],[qtySaldoAkhir2025]]*Lab[[#This Row],[hargaSatuan]]</f>
        <v>5059795</v>
      </c>
      <c r="S867" s="32">
        <f t="shared" si="26"/>
        <v>5059795</v>
      </c>
      <c r="T867" s="32">
        <f t="shared" si="27"/>
        <v>0</v>
      </c>
      <c r="W867" s="74"/>
    </row>
    <row r="868" spans="1:59" ht="14.4" x14ac:dyDescent="0.3">
      <c r="A868" s="76">
        <v>51</v>
      </c>
      <c r="B868" s="45" t="s">
        <v>1025</v>
      </c>
      <c r="C868" s="46" t="s">
        <v>962</v>
      </c>
      <c r="D868" s="47" t="s">
        <v>1026</v>
      </c>
      <c r="E868" s="48">
        <v>46228</v>
      </c>
      <c r="F868" s="49">
        <v>468088</v>
      </c>
      <c r="G868" s="45" t="s">
        <v>54</v>
      </c>
      <c r="H868" s="50">
        <v>30</v>
      </c>
      <c r="I868" s="49">
        <f>Lab[[#This Row],[qtySaldoAwalSem1]]*Lab[[#This Row],[hargaSatuan]]</f>
        <v>14042640</v>
      </c>
      <c r="J868" s="50">
        <v>0</v>
      </c>
      <c r="K868" s="51">
        <f>Lab[[#This Row],[qtyTerima2025]]*Lab[[#This Row],[hargaSatuan]]</f>
        <v>0</v>
      </c>
      <c r="L868" s="50">
        <v>30</v>
      </c>
      <c r="M868" s="51">
        <f>Lab[[#This Row],[qtyDist2025]]*Lab[[#This Row],[hargaSatuan]]</f>
        <v>14042640</v>
      </c>
      <c r="N868" s="50">
        <v>0</v>
      </c>
      <c r="O868" s="51">
        <f>Lab[[#This Row],[qtyEd2025]]*Lab[[#This Row],[hargaSatuan]]</f>
        <v>0</v>
      </c>
      <c r="P868" s="50">
        <f>Lab[[#This Row],[qtySaldoAwalSem1]]+Lab[[#This Row],[qtyTerima2025]]-(Lab[[#This Row],[qtyDist2025]]+Lab[[#This Row],[qtyEd2025]])</f>
        <v>0</v>
      </c>
      <c r="Q868" s="52">
        <f>Lab[[#This Row],[qtySaldoAkhir2025]]*Lab[[#This Row],[hargaSatuan]]</f>
        <v>0</v>
      </c>
      <c r="S868" s="32">
        <f t="shared" si="26"/>
        <v>0</v>
      </c>
      <c r="T868" s="32">
        <f t="shared" si="27"/>
        <v>0</v>
      </c>
      <c r="W868" s="74"/>
    </row>
    <row r="869" spans="1:59" ht="14.4" x14ac:dyDescent="0.3">
      <c r="A869" s="44">
        <v>52</v>
      </c>
      <c r="B869" s="45" t="s">
        <v>1027</v>
      </c>
      <c r="C869" s="46" t="s">
        <v>962</v>
      </c>
      <c r="D869" s="47">
        <v>12406148</v>
      </c>
      <c r="E869" s="48">
        <v>46200</v>
      </c>
      <c r="F869" s="49">
        <v>31442</v>
      </c>
      <c r="G869" s="45" t="s">
        <v>40</v>
      </c>
      <c r="H869" s="50">
        <v>50</v>
      </c>
      <c r="I869" s="49">
        <f>Lab[[#This Row],[qtySaldoAwalSem1]]*Lab[[#This Row],[hargaSatuan]]</f>
        <v>1572100</v>
      </c>
      <c r="J869" s="50">
        <v>0</v>
      </c>
      <c r="K869" s="51">
        <f>Lab[[#This Row],[qtyTerima2025]]*Lab[[#This Row],[hargaSatuan]]</f>
        <v>0</v>
      </c>
      <c r="L869" s="50">
        <v>50</v>
      </c>
      <c r="M869" s="51">
        <f>Lab[[#This Row],[qtyDist2025]]*Lab[[#This Row],[hargaSatuan]]</f>
        <v>1572100</v>
      </c>
      <c r="N869" s="50">
        <v>0</v>
      </c>
      <c r="O869" s="51">
        <f>Lab[[#This Row],[qtyEd2025]]*Lab[[#This Row],[hargaSatuan]]</f>
        <v>0</v>
      </c>
      <c r="P869" s="50">
        <f>Lab[[#This Row],[qtySaldoAwalSem1]]+Lab[[#This Row],[qtyTerima2025]]-(Lab[[#This Row],[qtyDist2025]]+Lab[[#This Row],[qtyEd2025]])</f>
        <v>0</v>
      </c>
      <c r="Q869" s="52">
        <f>Lab[[#This Row],[qtySaldoAkhir2025]]*Lab[[#This Row],[hargaSatuan]]</f>
        <v>0</v>
      </c>
      <c r="S869" s="32">
        <f t="shared" si="26"/>
        <v>0</v>
      </c>
      <c r="T869" s="32">
        <f t="shared" si="27"/>
        <v>0</v>
      </c>
      <c r="W869" s="74"/>
    </row>
    <row r="870" spans="1:59" ht="14.4" x14ac:dyDescent="0.3">
      <c r="A870" s="76">
        <v>53</v>
      </c>
      <c r="B870" s="45" t="s">
        <v>1027</v>
      </c>
      <c r="C870" s="46" t="s">
        <v>962</v>
      </c>
      <c r="D870" s="47" t="s">
        <v>1028</v>
      </c>
      <c r="E870" s="48">
        <v>46292</v>
      </c>
      <c r="F870" s="49">
        <v>30446</v>
      </c>
      <c r="G870" s="45" t="s">
        <v>40</v>
      </c>
      <c r="H870" s="50">
        <v>0</v>
      </c>
      <c r="I870" s="49">
        <f>Lab[[#This Row],[qtySaldoAwalSem1]]*Lab[[#This Row],[hargaSatuan]]</f>
        <v>0</v>
      </c>
      <c r="J870" s="50">
        <v>50</v>
      </c>
      <c r="K870" s="51">
        <f>Lab[[#This Row],[qtyTerima2025]]*Lab[[#This Row],[hargaSatuan]]</f>
        <v>1522300</v>
      </c>
      <c r="L870" s="50">
        <v>10</v>
      </c>
      <c r="M870" s="51">
        <f>Lab[[#This Row],[qtyDist2025]]*Lab[[#This Row],[hargaSatuan]]</f>
        <v>304460</v>
      </c>
      <c r="N870" s="50">
        <v>0</v>
      </c>
      <c r="O870" s="51">
        <f>Lab[[#This Row],[qtyEd2025]]*Lab[[#This Row],[hargaSatuan]]</f>
        <v>0</v>
      </c>
      <c r="P870" s="50">
        <f>Lab[[#This Row],[qtySaldoAwalSem1]]+Lab[[#This Row],[qtyTerima2025]]-(Lab[[#This Row],[qtyDist2025]]+Lab[[#This Row],[qtyEd2025]])</f>
        <v>40</v>
      </c>
      <c r="Q870" s="52">
        <f>Lab[[#This Row],[qtySaldoAkhir2025]]*Lab[[#This Row],[hargaSatuan]]</f>
        <v>1217840</v>
      </c>
      <c r="S870" s="32">
        <f t="shared" si="26"/>
        <v>1217840</v>
      </c>
      <c r="T870" s="32">
        <f t="shared" si="27"/>
        <v>0</v>
      </c>
    </row>
    <row r="871" spans="1:59" ht="14.4" x14ac:dyDescent="0.3">
      <c r="A871" s="44">
        <v>54</v>
      </c>
      <c r="B871" s="77" t="s">
        <v>1029</v>
      </c>
      <c r="C871" s="78" t="s">
        <v>962</v>
      </c>
      <c r="D871" s="79" t="s">
        <v>1030</v>
      </c>
      <c r="E871" s="80">
        <v>46199</v>
      </c>
      <c r="F871" s="81">
        <v>7923</v>
      </c>
      <c r="G871" s="77" t="s">
        <v>40</v>
      </c>
      <c r="H871" s="82">
        <v>250</v>
      </c>
      <c r="I871" s="49">
        <f>Lab[[#This Row],[qtySaldoAwalSem1]]*Lab[[#This Row],[hargaSatuan]]</f>
        <v>1980750</v>
      </c>
      <c r="J871" s="82">
        <v>0</v>
      </c>
      <c r="K871" s="51">
        <f>Lab[[#This Row],[qtyTerima2025]]*Lab[[#This Row],[hargaSatuan]]</f>
        <v>0</v>
      </c>
      <c r="L871" s="82">
        <v>250</v>
      </c>
      <c r="M871" s="51">
        <f>Lab[[#This Row],[qtyDist2025]]*Lab[[#This Row],[hargaSatuan]]</f>
        <v>1980750</v>
      </c>
      <c r="N871" s="82">
        <v>0</v>
      </c>
      <c r="O871" s="51">
        <f>Lab[[#This Row],[qtyEd2025]]*Lab[[#This Row],[hargaSatuan]]</f>
        <v>0</v>
      </c>
      <c r="P871" s="50">
        <f>Lab[[#This Row],[qtySaldoAwalSem1]]+Lab[[#This Row],[qtyTerima2025]]-(Lab[[#This Row],[qtyDist2025]]+Lab[[#This Row],[qtyEd2025]])</f>
        <v>0</v>
      </c>
      <c r="Q871" s="52">
        <f>Lab[[#This Row],[qtySaldoAkhir2025]]*Lab[[#This Row],[hargaSatuan]]</f>
        <v>0</v>
      </c>
      <c r="R871" s="74"/>
      <c r="S871" s="32">
        <f t="shared" si="26"/>
        <v>0</v>
      </c>
      <c r="T871" s="32">
        <f t="shared" si="27"/>
        <v>0</v>
      </c>
      <c r="U871" s="74"/>
      <c r="V871" s="74"/>
      <c r="X871" s="74"/>
      <c r="Y871" s="74"/>
      <c r="Z871" s="74"/>
      <c r="AA871" s="74"/>
      <c r="AB871" s="74"/>
      <c r="AC871" s="74"/>
      <c r="AD871" s="74"/>
      <c r="AE871" s="74"/>
      <c r="AF871" s="74"/>
      <c r="AG871" s="74"/>
      <c r="AH871" s="74"/>
      <c r="AI871" s="74"/>
      <c r="AJ871" s="74"/>
      <c r="AK871" s="74"/>
      <c r="AL871" s="74"/>
      <c r="AM871" s="74"/>
      <c r="AN871" s="74"/>
      <c r="AO871" s="74"/>
      <c r="AP871" s="74"/>
      <c r="AQ871" s="74"/>
      <c r="AR871" s="74"/>
      <c r="AS871" s="74"/>
      <c r="AT871" s="74"/>
      <c r="AU871" s="74"/>
      <c r="AV871" s="74"/>
      <c r="AW871" s="74"/>
      <c r="AX871" s="74"/>
      <c r="AY871" s="74"/>
      <c r="AZ871" s="74"/>
      <c r="BA871" s="74"/>
      <c r="BB871" s="74"/>
      <c r="BC871" s="74"/>
      <c r="BD871" s="74"/>
      <c r="BE871" s="74"/>
      <c r="BF871" s="74"/>
      <c r="BG871" s="74"/>
    </row>
    <row r="872" spans="1:59" ht="14.4" x14ac:dyDescent="0.3">
      <c r="A872" s="76">
        <v>55</v>
      </c>
      <c r="B872" s="77" t="s">
        <v>1031</v>
      </c>
      <c r="C872" s="78" t="s">
        <v>962</v>
      </c>
      <c r="D872" s="79" t="s">
        <v>1032</v>
      </c>
      <c r="E872" s="80">
        <v>46290</v>
      </c>
      <c r="F872" s="81">
        <v>3190.28</v>
      </c>
      <c r="G872" s="77" t="s">
        <v>40</v>
      </c>
      <c r="H872" s="82">
        <v>5200</v>
      </c>
      <c r="I872" s="49">
        <f>Lab[[#This Row],[qtySaldoAwalSem1]]*Lab[[#This Row],[hargaSatuan]]</f>
        <v>16589456.000000002</v>
      </c>
      <c r="J872" s="82">
        <v>0</v>
      </c>
      <c r="K872" s="51">
        <f>Lab[[#This Row],[qtyTerima2025]]*Lab[[#This Row],[hargaSatuan]]</f>
        <v>0</v>
      </c>
      <c r="L872" s="82">
        <v>3625</v>
      </c>
      <c r="M872" s="51">
        <f>Lab[[#This Row],[qtyDist2025]]*Lab[[#This Row],[hargaSatuan]]</f>
        <v>11564765</v>
      </c>
      <c r="N872" s="82">
        <v>1575</v>
      </c>
      <c r="O872" s="51">
        <f>Lab[[#This Row],[qtyEd2025]]*Lab[[#This Row],[hargaSatuan]]</f>
        <v>5024691</v>
      </c>
      <c r="P872" s="50">
        <f>Lab[[#This Row],[qtySaldoAwalSem1]]+Lab[[#This Row],[qtyTerima2025]]-(Lab[[#This Row],[qtyDist2025]]+Lab[[#This Row],[qtyEd2025]])</f>
        <v>0</v>
      </c>
      <c r="Q872" s="52">
        <f>Lab[[#This Row],[qtySaldoAkhir2025]]*Lab[[#This Row],[hargaSatuan]]</f>
        <v>0</v>
      </c>
      <c r="R872" s="74"/>
      <c r="S872" s="32">
        <f t="shared" si="26"/>
        <v>1.862645149230957E-9</v>
      </c>
      <c r="T872" s="32">
        <f t="shared" si="27"/>
        <v>-1.862645149230957E-9</v>
      </c>
      <c r="U872" s="74"/>
      <c r="V872" s="74"/>
      <c r="X872" s="74"/>
      <c r="Y872" s="74"/>
      <c r="Z872" s="74"/>
      <c r="AA872" s="74"/>
      <c r="AB872" s="74"/>
      <c r="AC872" s="74"/>
      <c r="AD872" s="74"/>
      <c r="AE872" s="74"/>
      <c r="AF872" s="74"/>
      <c r="AG872" s="74"/>
      <c r="AH872" s="74"/>
      <c r="AI872" s="74"/>
      <c r="AJ872" s="74"/>
      <c r="AK872" s="74"/>
      <c r="AL872" s="74"/>
      <c r="AM872" s="74"/>
      <c r="AN872" s="74"/>
      <c r="AO872" s="74"/>
      <c r="AP872" s="74"/>
      <c r="AQ872" s="74"/>
      <c r="AR872" s="74"/>
      <c r="AS872" s="74"/>
      <c r="AT872" s="74"/>
      <c r="AU872" s="74"/>
      <c r="AV872" s="74"/>
      <c r="AW872" s="74"/>
      <c r="AX872" s="74"/>
      <c r="AY872" s="74"/>
      <c r="AZ872" s="74"/>
      <c r="BA872" s="74"/>
      <c r="BB872" s="74"/>
      <c r="BC872" s="74"/>
      <c r="BD872" s="74"/>
      <c r="BE872" s="74"/>
      <c r="BF872" s="74"/>
      <c r="BG872" s="74"/>
    </row>
    <row r="873" spans="1:59" ht="14.4" x14ac:dyDescent="0.3">
      <c r="A873" s="44">
        <v>56</v>
      </c>
      <c r="B873" s="77" t="s">
        <v>1031</v>
      </c>
      <c r="C873" s="78" t="s">
        <v>962</v>
      </c>
      <c r="D873" s="79" t="s">
        <v>1033</v>
      </c>
      <c r="E873" s="80" t="s">
        <v>1034</v>
      </c>
      <c r="F873" s="81">
        <v>5751.05</v>
      </c>
      <c r="G873" s="77" t="s">
        <v>40</v>
      </c>
      <c r="H873" s="82">
        <v>0</v>
      </c>
      <c r="I873" s="49">
        <f>Lab[[#This Row],[qtySaldoAwalSem1]]*Lab[[#This Row],[hargaSatuan]]</f>
        <v>0</v>
      </c>
      <c r="J873" s="82">
        <v>12000</v>
      </c>
      <c r="K873" s="51">
        <f>Lab[[#This Row],[qtyTerima2025]]*Lab[[#This Row],[hargaSatuan]]</f>
        <v>69012600</v>
      </c>
      <c r="L873" s="82">
        <v>5975</v>
      </c>
      <c r="M873" s="51">
        <f>Lab[[#This Row],[qtyDist2025]]*Lab[[#This Row],[hargaSatuan]]</f>
        <v>34362523.75</v>
      </c>
      <c r="N873" s="82">
        <v>0</v>
      </c>
      <c r="O873" s="51">
        <f>Lab[[#This Row],[qtyEd2025]]*Lab[[#This Row],[hargaSatuan]]</f>
        <v>0</v>
      </c>
      <c r="P873" s="50">
        <f>Lab[[#This Row],[qtySaldoAwalSem1]]+Lab[[#This Row],[qtyTerima2025]]-(Lab[[#This Row],[qtyDist2025]]+Lab[[#This Row],[qtyEd2025]])</f>
        <v>6025</v>
      </c>
      <c r="Q873" s="52">
        <f>Lab[[#This Row],[qtySaldoAkhir2025]]*Lab[[#This Row],[hargaSatuan]]</f>
        <v>34650076.25</v>
      </c>
      <c r="R873" s="74"/>
      <c r="S873" s="32">
        <f t="shared" si="26"/>
        <v>34650076.25</v>
      </c>
      <c r="T873" s="32">
        <f t="shared" si="27"/>
        <v>0</v>
      </c>
      <c r="U873" s="74"/>
      <c r="V873" s="74"/>
      <c r="X873" s="74"/>
      <c r="Y873" s="74"/>
      <c r="Z873" s="74"/>
      <c r="AA873" s="74"/>
      <c r="AB873" s="74"/>
      <c r="AC873" s="74"/>
      <c r="AD873" s="74"/>
      <c r="AE873" s="74"/>
      <c r="AF873" s="74"/>
      <c r="AG873" s="74"/>
      <c r="AH873" s="74"/>
      <c r="AI873" s="74"/>
      <c r="AJ873" s="74"/>
      <c r="AK873" s="74"/>
      <c r="AL873" s="74"/>
      <c r="AM873" s="74"/>
      <c r="AN873" s="74"/>
      <c r="AO873" s="74"/>
      <c r="AP873" s="74"/>
      <c r="AQ873" s="74"/>
      <c r="AR873" s="74"/>
      <c r="AS873" s="74"/>
      <c r="AT873" s="74"/>
      <c r="AU873" s="74"/>
      <c r="AV873" s="74"/>
      <c r="AW873" s="74"/>
      <c r="AX873" s="74"/>
      <c r="AY873" s="74"/>
      <c r="AZ873" s="74"/>
      <c r="BA873" s="74"/>
      <c r="BB873" s="74"/>
      <c r="BC873" s="74"/>
      <c r="BD873" s="74"/>
      <c r="BE873" s="74"/>
      <c r="BF873" s="74"/>
      <c r="BG873" s="74"/>
    </row>
    <row r="874" spans="1:59" ht="28.8" x14ac:dyDescent="0.3">
      <c r="A874" s="76">
        <v>57</v>
      </c>
      <c r="B874" s="45" t="s">
        <v>1035</v>
      </c>
      <c r="C874" s="46" t="s">
        <v>120</v>
      </c>
      <c r="D874" s="47" t="s">
        <v>1036</v>
      </c>
      <c r="E874" s="48">
        <v>46351</v>
      </c>
      <c r="F874" s="49">
        <v>181825</v>
      </c>
      <c r="G874" s="45" t="s">
        <v>40</v>
      </c>
      <c r="H874" s="50">
        <v>10</v>
      </c>
      <c r="I874" s="49">
        <f>Lab[[#This Row],[qtySaldoAwalSem1]]*Lab[[#This Row],[hargaSatuan]]</f>
        <v>1818250</v>
      </c>
      <c r="J874" s="50">
        <v>7</v>
      </c>
      <c r="K874" s="51">
        <f>Lab[[#This Row],[qtyTerima2025]]*Lab[[#This Row],[hargaSatuan]]</f>
        <v>1272775</v>
      </c>
      <c r="L874" s="50">
        <v>12</v>
      </c>
      <c r="M874" s="51">
        <f>Lab[[#This Row],[qtyDist2025]]*Lab[[#This Row],[hargaSatuan]]</f>
        <v>2181900</v>
      </c>
      <c r="N874" s="50">
        <v>5</v>
      </c>
      <c r="O874" s="51">
        <f>Lab[[#This Row],[qtyEd2025]]*Lab[[#This Row],[hargaSatuan]]</f>
        <v>909125</v>
      </c>
      <c r="P874" s="50">
        <f>Lab[[#This Row],[qtySaldoAwalSem1]]+Lab[[#This Row],[qtyTerima2025]]-(Lab[[#This Row],[qtyDist2025]]+Lab[[#This Row],[qtyEd2025]])</f>
        <v>0</v>
      </c>
      <c r="Q874" s="52">
        <f>Lab[[#This Row],[qtySaldoAkhir2025]]*Lab[[#This Row],[hargaSatuan]]</f>
        <v>0</v>
      </c>
      <c r="S874" s="32">
        <f t="shared" si="26"/>
        <v>0</v>
      </c>
      <c r="T874" s="32">
        <f t="shared" si="27"/>
        <v>0</v>
      </c>
    </row>
    <row r="875" spans="1:59" ht="28.8" x14ac:dyDescent="0.3">
      <c r="A875" s="44">
        <v>58</v>
      </c>
      <c r="B875" s="45" t="s">
        <v>1035</v>
      </c>
      <c r="C875" s="46" t="s">
        <v>1037</v>
      </c>
      <c r="D875" s="47">
        <v>21123</v>
      </c>
      <c r="E875" s="48">
        <v>46351</v>
      </c>
      <c r="F875" s="49">
        <v>181825</v>
      </c>
      <c r="G875" s="45" t="s">
        <v>40</v>
      </c>
      <c r="H875" s="50">
        <v>0</v>
      </c>
      <c r="I875" s="49">
        <f>Lab[[#This Row],[qtySaldoAwalSem1]]*Lab[[#This Row],[hargaSatuan]]</f>
        <v>0</v>
      </c>
      <c r="J875" s="50">
        <v>2</v>
      </c>
      <c r="K875" s="51">
        <f>Lab[[#This Row],[qtyTerima2025]]*Lab[[#This Row],[hargaSatuan]]</f>
        <v>363650</v>
      </c>
      <c r="L875" s="50">
        <v>0</v>
      </c>
      <c r="M875" s="51">
        <f>Lab[[#This Row],[qtyDist2025]]*Lab[[#This Row],[hargaSatuan]]</f>
        <v>0</v>
      </c>
      <c r="N875" s="50">
        <v>2</v>
      </c>
      <c r="O875" s="51">
        <f>Lab[[#This Row],[qtyEd2025]]*Lab[[#This Row],[hargaSatuan]]</f>
        <v>363650</v>
      </c>
      <c r="P875" s="50">
        <f>Lab[[#This Row],[qtySaldoAwalSem1]]+Lab[[#This Row],[qtyTerima2025]]-(Lab[[#This Row],[qtyDist2025]]+Lab[[#This Row],[qtyEd2025]])</f>
        <v>0</v>
      </c>
      <c r="Q875" s="52">
        <f>Lab[[#This Row],[qtySaldoAkhir2025]]*Lab[[#This Row],[hargaSatuan]]</f>
        <v>0</v>
      </c>
      <c r="S875" s="32">
        <f t="shared" si="26"/>
        <v>0</v>
      </c>
      <c r="T875" s="32">
        <f t="shared" si="27"/>
        <v>0</v>
      </c>
    </row>
    <row r="876" spans="1:59" ht="28.8" x14ac:dyDescent="0.3">
      <c r="A876" s="76">
        <v>59</v>
      </c>
      <c r="B876" s="45" t="s">
        <v>1038</v>
      </c>
      <c r="C876" s="46" t="s">
        <v>120</v>
      </c>
      <c r="D876" s="47" t="s">
        <v>1039</v>
      </c>
      <c r="E876" s="48" t="s">
        <v>1040</v>
      </c>
      <c r="F876" s="49">
        <v>186350</v>
      </c>
      <c r="G876" s="45" t="s">
        <v>40</v>
      </c>
      <c r="H876" s="50">
        <v>10</v>
      </c>
      <c r="I876" s="49">
        <f>Lab[[#This Row],[qtySaldoAwalSem1]]*Lab[[#This Row],[hargaSatuan]]</f>
        <v>1863500</v>
      </c>
      <c r="J876" s="50">
        <v>7</v>
      </c>
      <c r="K876" s="51">
        <f>Lab[[#This Row],[qtyTerima2025]]*Lab[[#This Row],[hargaSatuan]]</f>
        <v>1304450</v>
      </c>
      <c r="L876" s="50">
        <v>13</v>
      </c>
      <c r="M876" s="51">
        <f>Lab[[#This Row],[qtyDist2025]]*Lab[[#This Row],[hargaSatuan]]</f>
        <v>2422550</v>
      </c>
      <c r="N876" s="50">
        <v>4</v>
      </c>
      <c r="O876" s="51">
        <f>Lab[[#This Row],[qtyEd2025]]*Lab[[#This Row],[hargaSatuan]]</f>
        <v>745400</v>
      </c>
      <c r="P876" s="50">
        <f>Lab[[#This Row],[qtySaldoAwalSem1]]+Lab[[#This Row],[qtyTerima2025]]-(Lab[[#This Row],[qtyDist2025]]+Lab[[#This Row],[qtyEd2025]])</f>
        <v>0</v>
      </c>
      <c r="Q876" s="52">
        <f>Lab[[#This Row],[qtySaldoAkhir2025]]*Lab[[#This Row],[hargaSatuan]]</f>
        <v>0</v>
      </c>
      <c r="S876" s="32">
        <f t="shared" si="26"/>
        <v>0</v>
      </c>
      <c r="T876" s="32">
        <f t="shared" si="27"/>
        <v>0</v>
      </c>
    </row>
    <row r="877" spans="1:59" ht="28.8" x14ac:dyDescent="0.3">
      <c r="A877" s="44">
        <v>60</v>
      </c>
      <c r="B877" s="45" t="s">
        <v>1038</v>
      </c>
      <c r="C877" s="46" t="s">
        <v>120</v>
      </c>
      <c r="D877" s="47" t="s">
        <v>1041</v>
      </c>
      <c r="E877" s="48" t="s">
        <v>978</v>
      </c>
      <c r="F877" s="49">
        <v>176250</v>
      </c>
      <c r="G877" s="45" t="s">
        <v>40</v>
      </c>
      <c r="H877" s="50">
        <v>0</v>
      </c>
      <c r="I877" s="49">
        <f>Lab[[#This Row],[qtySaldoAwalSem1]]*Lab[[#This Row],[hargaSatuan]]</f>
        <v>0</v>
      </c>
      <c r="J877" s="50">
        <v>15</v>
      </c>
      <c r="K877" s="51">
        <f>Lab[[#This Row],[qtyTerima2025]]*Lab[[#This Row],[hargaSatuan]]</f>
        <v>2643750</v>
      </c>
      <c r="L877" s="50">
        <v>8</v>
      </c>
      <c r="M877" s="51">
        <f>Lab[[#This Row],[qtyDist2025]]*Lab[[#This Row],[hargaSatuan]]</f>
        <v>1410000</v>
      </c>
      <c r="N877" s="50">
        <v>0</v>
      </c>
      <c r="O877" s="51">
        <f>Lab[[#This Row],[qtyEd2025]]*Lab[[#This Row],[hargaSatuan]]</f>
        <v>0</v>
      </c>
      <c r="P877" s="50">
        <f>Lab[[#This Row],[qtySaldoAwalSem1]]+Lab[[#This Row],[qtyTerima2025]]-(Lab[[#This Row],[qtyDist2025]]+Lab[[#This Row],[qtyEd2025]])</f>
        <v>7</v>
      </c>
      <c r="Q877" s="52">
        <f>Lab[[#This Row],[qtySaldoAkhir2025]]*Lab[[#This Row],[hargaSatuan]]</f>
        <v>1233750</v>
      </c>
      <c r="S877" s="32">
        <f t="shared" si="26"/>
        <v>1233750</v>
      </c>
      <c r="T877" s="32">
        <f t="shared" si="27"/>
        <v>0</v>
      </c>
      <c r="W877" s="74"/>
    </row>
    <row r="878" spans="1:59" ht="14.4" x14ac:dyDescent="0.3">
      <c r="A878" s="76">
        <v>61</v>
      </c>
      <c r="B878" s="45" t="s">
        <v>1042</v>
      </c>
      <c r="C878" s="46" t="s">
        <v>120</v>
      </c>
      <c r="D878" s="47" t="s">
        <v>1043</v>
      </c>
      <c r="E878" s="48">
        <v>46351</v>
      </c>
      <c r="F878" s="49">
        <v>401957.54716981133</v>
      </c>
      <c r="G878" s="45" t="s">
        <v>54</v>
      </c>
      <c r="H878" s="50">
        <v>12</v>
      </c>
      <c r="I878" s="49">
        <f>Lab[[#This Row],[qtySaldoAwalSem1]]*Lab[[#This Row],[hargaSatuan]]</f>
        <v>4823490.5660377359</v>
      </c>
      <c r="J878" s="50">
        <v>0</v>
      </c>
      <c r="K878" s="51">
        <f>Lab[[#This Row],[qtyTerima2025]]*Lab[[#This Row],[hargaSatuan]]</f>
        <v>0</v>
      </c>
      <c r="L878" s="50">
        <v>12</v>
      </c>
      <c r="M878" s="51">
        <f>Lab[[#This Row],[qtyDist2025]]*Lab[[#This Row],[hargaSatuan]]</f>
        <v>4823490.5660377359</v>
      </c>
      <c r="N878" s="50">
        <v>0</v>
      </c>
      <c r="O878" s="51">
        <f>Lab[[#This Row],[qtyEd2025]]*Lab[[#This Row],[hargaSatuan]]</f>
        <v>0</v>
      </c>
      <c r="P878" s="50">
        <f>Lab[[#This Row],[qtySaldoAwalSem1]]+Lab[[#This Row],[qtyTerima2025]]-(Lab[[#This Row],[qtyDist2025]]+Lab[[#This Row],[qtyEd2025]])</f>
        <v>0</v>
      </c>
      <c r="Q878" s="52">
        <f>Lab[[#This Row],[qtySaldoAkhir2025]]*Lab[[#This Row],[hargaSatuan]]</f>
        <v>0</v>
      </c>
      <c r="S878" s="32">
        <f t="shared" si="26"/>
        <v>0</v>
      </c>
      <c r="T878" s="32">
        <f t="shared" si="27"/>
        <v>0</v>
      </c>
      <c r="W878" s="74"/>
    </row>
    <row r="879" spans="1:59" ht="14.4" x14ac:dyDescent="0.3">
      <c r="A879" s="44">
        <v>62</v>
      </c>
      <c r="B879" s="45" t="s">
        <v>1042</v>
      </c>
      <c r="C879" s="46" t="s">
        <v>120</v>
      </c>
      <c r="D879" s="47" t="s">
        <v>1044</v>
      </c>
      <c r="E879" s="48">
        <v>46351</v>
      </c>
      <c r="F879" s="49">
        <v>401957.54716981133</v>
      </c>
      <c r="G879" s="45" t="s">
        <v>54</v>
      </c>
      <c r="H879" s="50">
        <v>148</v>
      </c>
      <c r="I879" s="49">
        <f>Lab[[#This Row],[qtySaldoAwalSem1]]*Lab[[#This Row],[hargaSatuan]]</f>
        <v>59489716.981132075</v>
      </c>
      <c r="J879" s="50">
        <v>0</v>
      </c>
      <c r="K879" s="51">
        <f>Lab[[#This Row],[qtyTerima2025]]*Lab[[#This Row],[hargaSatuan]]</f>
        <v>0</v>
      </c>
      <c r="L879" s="50">
        <v>148</v>
      </c>
      <c r="M879" s="51">
        <f>Lab[[#This Row],[qtyDist2025]]*Lab[[#This Row],[hargaSatuan]]</f>
        <v>59489716.981132075</v>
      </c>
      <c r="N879" s="50">
        <v>0</v>
      </c>
      <c r="O879" s="51">
        <f>Lab[[#This Row],[qtyEd2025]]*Lab[[#This Row],[hargaSatuan]]</f>
        <v>0</v>
      </c>
      <c r="P879" s="50">
        <f>Lab[[#This Row],[qtySaldoAwalSem1]]+Lab[[#This Row],[qtyTerima2025]]-(Lab[[#This Row],[qtyDist2025]]+Lab[[#This Row],[qtyEd2025]])</f>
        <v>0</v>
      </c>
      <c r="Q879" s="52">
        <f>Lab[[#This Row],[qtySaldoAkhir2025]]*Lab[[#This Row],[hargaSatuan]]</f>
        <v>0</v>
      </c>
      <c r="S879" s="32">
        <f t="shared" si="26"/>
        <v>0</v>
      </c>
      <c r="T879" s="32">
        <f t="shared" si="27"/>
        <v>0</v>
      </c>
      <c r="W879" s="74"/>
    </row>
    <row r="880" spans="1:59" ht="14.4" x14ac:dyDescent="0.3">
      <c r="A880" s="76">
        <v>63</v>
      </c>
      <c r="B880" s="45" t="s">
        <v>1042</v>
      </c>
      <c r="C880" s="46" t="s">
        <v>120</v>
      </c>
      <c r="D880" s="47" t="s">
        <v>1045</v>
      </c>
      <c r="E880" s="48">
        <v>46048</v>
      </c>
      <c r="F880" s="49">
        <v>401957.54716981133</v>
      </c>
      <c r="G880" s="45" t="s">
        <v>54</v>
      </c>
      <c r="H880" s="50">
        <v>49</v>
      </c>
      <c r="I880" s="49">
        <f>Lab[[#This Row],[qtySaldoAwalSem1]]*Lab[[#This Row],[hargaSatuan]]</f>
        <v>19695919.811320756</v>
      </c>
      <c r="J880" s="50">
        <v>0</v>
      </c>
      <c r="K880" s="51">
        <f>Lab[[#This Row],[qtyTerima2025]]*Lab[[#This Row],[hargaSatuan]]</f>
        <v>0</v>
      </c>
      <c r="L880" s="50">
        <v>49</v>
      </c>
      <c r="M880" s="51">
        <f>Lab[[#This Row],[qtyDist2025]]*Lab[[#This Row],[hargaSatuan]]</f>
        <v>19695919.811320756</v>
      </c>
      <c r="N880" s="50">
        <v>0</v>
      </c>
      <c r="O880" s="51">
        <f>Lab[[#This Row],[qtyEd2025]]*Lab[[#This Row],[hargaSatuan]]</f>
        <v>0</v>
      </c>
      <c r="P880" s="50">
        <f>Lab[[#This Row],[qtySaldoAwalSem1]]+Lab[[#This Row],[qtyTerima2025]]-(Lab[[#This Row],[qtyDist2025]]+Lab[[#This Row],[qtyEd2025]])</f>
        <v>0</v>
      </c>
      <c r="Q880" s="52">
        <f>Lab[[#This Row],[qtySaldoAkhir2025]]*Lab[[#This Row],[hargaSatuan]]</f>
        <v>0</v>
      </c>
      <c r="S880" s="32">
        <f t="shared" si="26"/>
        <v>0</v>
      </c>
      <c r="T880" s="32">
        <f t="shared" si="27"/>
        <v>0</v>
      </c>
      <c r="W880" s="74"/>
    </row>
    <row r="881" spans="1:59" ht="14.4" x14ac:dyDescent="0.3">
      <c r="A881" s="44">
        <v>64</v>
      </c>
      <c r="B881" s="77" t="s">
        <v>1046</v>
      </c>
      <c r="C881" s="78" t="s">
        <v>962</v>
      </c>
      <c r="D881" s="79"/>
      <c r="E881" s="80" t="s">
        <v>1047</v>
      </c>
      <c r="F881" s="81">
        <v>10051</v>
      </c>
      <c r="G881" s="77" t="s">
        <v>40</v>
      </c>
      <c r="H881" s="82">
        <v>200</v>
      </c>
      <c r="I881" s="49">
        <f>Lab[[#This Row],[qtySaldoAwalSem1]]*Lab[[#This Row],[hargaSatuan]]</f>
        <v>2010200</v>
      </c>
      <c r="J881" s="82">
        <v>0</v>
      </c>
      <c r="K881" s="51">
        <f>Lab[[#This Row],[qtyTerima2025]]*Lab[[#This Row],[hargaSatuan]]</f>
        <v>0</v>
      </c>
      <c r="L881" s="82">
        <v>25</v>
      </c>
      <c r="M881" s="51">
        <f>Lab[[#This Row],[qtyDist2025]]*Lab[[#This Row],[hargaSatuan]]</f>
        <v>251275</v>
      </c>
      <c r="N881" s="82">
        <v>175</v>
      </c>
      <c r="O881" s="51">
        <f>Lab[[#This Row],[qtyEd2025]]*Lab[[#This Row],[hargaSatuan]]</f>
        <v>1758925</v>
      </c>
      <c r="P881" s="50">
        <f>Lab[[#This Row],[qtySaldoAwalSem1]]+Lab[[#This Row],[qtyTerima2025]]-(Lab[[#This Row],[qtyDist2025]]+Lab[[#This Row],[qtyEd2025]])</f>
        <v>0</v>
      </c>
      <c r="Q881" s="52">
        <f>Lab[[#This Row],[qtySaldoAkhir2025]]*Lab[[#This Row],[hargaSatuan]]</f>
        <v>0</v>
      </c>
      <c r="R881" s="74"/>
      <c r="S881" s="32">
        <f t="shared" si="26"/>
        <v>0</v>
      </c>
      <c r="T881" s="32">
        <f t="shared" si="27"/>
        <v>0</v>
      </c>
      <c r="U881" s="74"/>
      <c r="V881" s="74"/>
      <c r="W881" s="74"/>
      <c r="X881" s="74"/>
      <c r="Y881" s="74"/>
      <c r="Z881" s="74"/>
      <c r="AA881" s="74"/>
      <c r="AB881" s="74"/>
      <c r="AC881" s="74"/>
      <c r="AD881" s="74"/>
      <c r="AE881" s="74"/>
      <c r="AF881" s="74"/>
      <c r="AG881" s="74"/>
      <c r="AH881" s="74"/>
      <c r="AI881" s="74"/>
      <c r="AJ881" s="74"/>
      <c r="AK881" s="74"/>
      <c r="AL881" s="74"/>
      <c r="AM881" s="74"/>
      <c r="AN881" s="74"/>
      <c r="AO881" s="74"/>
      <c r="AP881" s="74"/>
      <c r="AQ881" s="74"/>
      <c r="AR881" s="74"/>
      <c r="AS881" s="74"/>
      <c r="AT881" s="74"/>
      <c r="AU881" s="74"/>
      <c r="AV881" s="74"/>
      <c r="AW881" s="74"/>
      <c r="AX881" s="74"/>
      <c r="AY881" s="74"/>
      <c r="AZ881" s="74"/>
      <c r="BA881" s="74"/>
      <c r="BB881" s="74"/>
      <c r="BC881" s="74"/>
      <c r="BD881" s="74"/>
      <c r="BE881" s="74"/>
      <c r="BF881" s="74"/>
      <c r="BG881" s="74"/>
    </row>
    <row r="882" spans="1:59" ht="14.4" x14ac:dyDescent="0.3">
      <c r="A882" s="76">
        <v>65</v>
      </c>
      <c r="B882" s="77" t="s">
        <v>1046</v>
      </c>
      <c r="C882" s="78" t="s">
        <v>962</v>
      </c>
      <c r="D882" s="79" t="s">
        <v>1048</v>
      </c>
      <c r="E882" s="80">
        <v>46048</v>
      </c>
      <c r="F882" s="81">
        <v>10608</v>
      </c>
      <c r="G882" s="77" t="s">
        <v>40</v>
      </c>
      <c r="H882" s="82">
        <v>0</v>
      </c>
      <c r="I882" s="49">
        <f>Lab[[#This Row],[qtySaldoAwalSem1]]*Lab[[#This Row],[hargaSatuan]]</f>
        <v>0</v>
      </c>
      <c r="J882" s="82">
        <v>75</v>
      </c>
      <c r="K882" s="51">
        <f>Lab[[#This Row],[qtyTerima2025]]*Lab[[#This Row],[hargaSatuan]]</f>
        <v>795600</v>
      </c>
      <c r="L882" s="82">
        <v>75</v>
      </c>
      <c r="M882" s="51">
        <f>Lab[[#This Row],[qtyDist2025]]*Lab[[#This Row],[hargaSatuan]]</f>
        <v>795600</v>
      </c>
      <c r="N882" s="82">
        <v>0</v>
      </c>
      <c r="O882" s="51">
        <f>Lab[[#This Row],[qtyEd2025]]*Lab[[#This Row],[hargaSatuan]]</f>
        <v>0</v>
      </c>
      <c r="P882" s="50">
        <f>Lab[[#This Row],[qtySaldoAwalSem1]]+Lab[[#This Row],[qtyTerima2025]]-(Lab[[#This Row],[qtyDist2025]]+Lab[[#This Row],[qtyEd2025]])</f>
        <v>0</v>
      </c>
      <c r="Q882" s="52">
        <f>Lab[[#This Row],[qtySaldoAkhir2025]]*Lab[[#This Row],[hargaSatuan]]</f>
        <v>0</v>
      </c>
      <c r="R882" s="74"/>
      <c r="S882" s="32">
        <f t="shared" si="26"/>
        <v>0</v>
      </c>
      <c r="T882" s="32">
        <f t="shared" si="27"/>
        <v>0</v>
      </c>
      <c r="U882" s="74"/>
      <c r="V882" s="74"/>
      <c r="X882" s="74"/>
      <c r="Y882" s="74"/>
      <c r="Z882" s="74"/>
      <c r="AA882" s="74"/>
      <c r="AB882" s="74"/>
      <c r="AC882" s="74"/>
      <c r="AD882" s="74"/>
      <c r="AE882" s="74"/>
      <c r="AF882" s="74"/>
      <c r="AG882" s="74"/>
      <c r="AH882" s="74"/>
      <c r="AI882" s="74"/>
      <c r="AJ882" s="74"/>
      <c r="AK882" s="74"/>
      <c r="AL882" s="74"/>
      <c r="AM882" s="74"/>
      <c r="AN882" s="74"/>
      <c r="AO882" s="74"/>
      <c r="AP882" s="74"/>
      <c r="AQ882" s="74"/>
      <c r="AR882" s="74"/>
      <c r="AS882" s="74"/>
      <c r="AT882" s="74"/>
      <c r="AU882" s="74"/>
      <c r="AV882" s="74"/>
      <c r="AW882" s="74"/>
      <c r="AX882" s="74"/>
      <c r="AY882" s="74"/>
      <c r="AZ882" s="74"/>
      <c r="BA882" s="74"/>
      <c r="BB882" s="74"/>
      <c r="BC882" s="74"/>
      <c r="BD882" s="74"/>
      <c r="BE882" s="74"/>
      <c r="BF882" s="74"/>
      <c r="BG882" s="74"/>
    </row>
    <row r="883" spans="1:59" ht="14.4" x14ac:dyDescent="0.3">
      <c r="A883" s="44">
        <v>66</v>
      </c>
      <c r="B883" s="77" t="s">
        <v>1049</v>
      </c>
      <c r="C883" s="78" t="s">
        <v>962</v>
      </c>
      <c r="D883" s="79" t="s">
        <v>1050</v>
      </c>
      <c r="E883" s="80">
        <v>46229</v>
      </c>
      <c r="F883" s="81">
        <v>10535.2</v>
      </c>
      <c r="G883" s="77" t="s">
        <v>40</v>
      </c>
      <c r="H883" s="82">
        <v>0</v>
      </c>
      <c r="I883" s="49">
        <f>Lab[[#This Row],[qtySaldoAwalSem1]]*Lab[[#This Row],[hargaSatuan]]</f>
        <v>0</v>
      </c>
      <c r="J883" s="82">
        <v>200</v>
      </c>
      <c r="K883" s="51">
        <f>Lab[[#This Row],[qtyTerima2025]]*Lab[[#This Row],[hargaSatuan]]</f>
        <v>2107040</v>
      </c>
      <c r="L883" s="82">
        <v>200</v>
      </c>
      <c r="M883" s="51">
        <f>Lab[[#This Row],[qtyDist2025]]*Lab[[#This Row],[hargaSatuan]]</f>
        <v>2107040</v>
      </c>
      <c r="N883" s="82">
        <v>0</v>
      </c>
      <c r="O883" s="51">
        <f>Lab[[#This Row],[qtyEd2025]]*Lab[[#This Row],[hargaSatuan]]</f>
        <v>0</v>
      </c>
      <c r="P883" s="50">
        <f>Lab[[#This Row],[qtySaldoAwalSem1]]+Lab[[#This Row],[qtyTerima2025]]-(Lab[[#This Row],[qtyDist2025]]+Lab[[#This Row],[qtyEd2025]])</f>
        <v>0</v>
      </c>
      <c r="Q883" s="52">
        <f>Lab[[#This Row],[qtySaldoAkhir2025]]*Lab[[#This Row],[hargaSatuan]]</f>
        <v>0</v>
      </c>
      <c r="R883" s="74"/>
      <c r="S883" s="32">
        <f t="shared" si="26"/>
        <v>0</v>
      </c>
      <c r="T883" s="32">
        <f t="shared" si="27"/>
        <v>0</v>
      </c>
      <c r="U883" s="74"/>
      <c r="V883" s="74"/>
      <c r="X883" s="74"/>
      <c r="Y883" s="74"/>
      <c r="Z883" s="74"/>
      <c r="AA883" s="74"/>
      <c r="AB883" s="74"/>
      <c r="AC883" s="74"/>
      <c r="AD883" s="74"/>
      <c r="AE883" s="74"/>
      <c r="AF883" s="74"/>
      <c r="AG883" s="74"/>
      <c r="AH883" s="74"/>
      <c r="AI883" s="74"/>
      <c r="AJ883" s="74"/>
      <c r="AK883" s="74"/>
      <c r="AL883" s="74"/>
      <c r="AM883" s="74"/>
      <c r="AN883" s="74"/>
      <c r="AO883" s="74"/>
      <c r="AP883" s="74"/>
      <c r="AQ883" s="74"/>
      <c r="AR883" s="74"/>
      <c r="AS883" s="74"/>
      <c r="AT883" s="74"/>
      <c r="AU883" s="74"/>
      <c r="AV883" s="74"/>
      <c r="AW883" s="74"/>
      <c r="AX883" s="74"/>
      <c r="AY883" s="74"/>
      <c r="AZ883" s="74"/>
      <c r="BA883" s="74"/>
      <c r="BB883" s="74"/>
      <c r="BC883" s="74"/>
      <c r="BD883" s="74"/>
      <c r="BE883" s="74"/>
      <c r="BF883" s="74"/>
      <c r="BG883" s="74"/>
    </row>
    <row r="884" spans="1:59" ht="14.4" x14ac:dyDescent="0.3">
      <c r="A884" s="76">
        <v>67</v>
      </c>
      <c r="B884" s="77" t="s">
        <v>1051</v>
      </c>
      <c r="C884" s="78" t="s">
        <v>962</v>
      </c>
      <c r="D884" s="79" t="s">
        <v>1052</v>
      </c>
      <c r="E884" s="80">
        <v>46198</v>
      </c>
      <c r="F884" s="81">
        <v>10536.2</v>
      </c>
      <c r="G884" s="77" t="s">
        <v>40</v>
      </c>
      <c r="H884" s="82">
        <v>0</v>
      </c>
      <c r="I884" s="49">
        <f>Lab[[#This Row],[qtySaldoAwalSem1]]*Lab[[#This Row],[hargaSatuan]]</f>
        <v>0</v>
      </c>
      <c r="J884" s="82">
        <v>50</v>
      </c>
      <c r="K884" s="51">
        <f>Lab[[#This Row],[qtyTerima2025]]*Lab[[#This Row],[hargaSatuan]]</f>
        <v>526810</v>
      </c>
      <c r="L884" s="82">
        <v>15</v>
      </c>
      <c r="M884" s="51">
        <f>Lab[[#This Row],[qtyDist2025]]*Lab[[#This Row],[hargaSatuan]]</f>
        <v>158043</v>
      </c>
      <c r="N884" s="82">
        <v>0</v>
      </c>
      <c r="O884" s="51">
        <f>Lab[[#This Row],[qtyEd2025]]*Lab[[#This Row],[hargaSatuan]]</f>
        <v>0</v>
      </c>
      <c r="P884" s="50">
        <f>Lab[[#This Row],[qtySaldoAwalSem1]]+Lab[[#This Row],[qtyTerima2025]]-(Lab[[#This Row],[qtyDist2025]]+Lab[[#This Row],[qtyEd2025]])</f>
        <v>35</v>
      </c>
      <c r="Q884" s="52">
        <f>Lab[[#This Row],[qtySaldoAkhir2025]]*Lab[[#This Row],[hargaSatuan]]</f>
        <v>368767</v>
      </c>
      <c r="R884" s="74"/>
      <c r="S884" s="32">
        <f t="shared" si="26"/>
        <v>368767</v>
      </c>
      <c r="T884" s="32">
        <f t="shared" si="27"/>
        <v>0</v>
      </c>
      <c r="U884" s="74"/>
      <c r="V884" s="74"/>
      <c r="X884" s="74"/>
      <c r="Y884" s="74"/>
      <c r="Z884" s="74"/>
      <c r="AA884" s="74"/>
      <c r="AB884" s="74"/>
      <c r="AC884" s="74"/>
      <c r="AD884" s="74"/>
      <c r="AE884" s="74"/>
      <c r="AF884" s="74"/>
      <c r="AG884" s="74"/>
      <c r="AH884" s="74"/>
      <c r="AI884" s="74"/>
      <c r="AJ884" s="74"/>
      <c r="AK884" s="74"/>
      <c r="AL884" s="74"/>
      <c r="AM884" s="74"/>
      <c r="AN884" s="74"/>
      <c r="AO884" s="74"/>
      <c r="AP884" s="74"/>
      <c r="AQ884" s="74"/>
      <c r="AR884" s="74"/>
      <c r="AS884" s="74"/>
      <c r="AT884" s="74"/>
      <c r="AU884" s="74"/>
      <c r="AV884" s="74"/>
      <c r="AW884" s="74"/>
      <c r="AX884" s="74"/>
      <c r="AY884" s="74"/>
      <c r="AZ884" s="74"/>
      <c r="BA884" s="74"/>
      <c r="BB884" s="74"/>
      <c r="BC884" s="74"/>
      <c r="BD884" s="74"/>
      <c r="BE884" s="74"/>
      <c r="BF884" s="74"/>
      <c r="BG884" s="74"/>
    </row>
    <row r="885" spans="1:59" ht="14.4" x14ac:dyDescent="0.3">
      <c r="A885" s="44">
        <v>68</v>
      </c>
      <c r="B885" s="77" t="s">
        <v>1053</v>
      </c>
      <c r="C885" s="78" t="s">
        <v>120</v>
      </c>
      <c r="D885" s="79" t="s">
        <v>1054</v>
      </c>
      <c r="E885" s="80">
        <v>46352</v>
      </c>
      <c r="F885" s="81">
        <v>160000</v>
      </c>
      <c r="G885" s="77" t="s">
        <v>40</v>
      </c>
      <c r="H885" s="82">
        <v>0</v>
      </c>
      <c r="I885" s="49">
        <f>Lab[[#This Row],[qtySaldoAwalSem1]]*Lab[[#This Row],[hargaSatuan]]</f>
        <v>0</v>
      </c>
      <c r="J885" s="82">
        <v>8</v>
      </c>
      <c r="K885" s="51">
        <f>Lab[[#This Row],[qtyTerima2025]]*Lab[[#This Row],[hargaSatuan]]</f>
        <v>1280000</v>
      </c>
      <c r="L885" s="82">
        <v>5</v>
      </c>
      <c r="M885" s="51">
        <f>Lab[[#This Row],[qtyDist2025]]*Lab[[#This Row],[hargaSatuan]]</f>
        <v>800000</v>
      </c>
      <c r="N885" s="82">
        <v>0</v>
      </c>
      <c r="O885" s="51">
        <f>Lab[[#This Row],[qtyEd2025]]*Lab[[#This Row],[hargaSatuan]]</f>
        <v>0</v>
      </c>
      <c r="P885" s="50">
        <f>Lab[[#This Row],[qtySaldoAwalSem1]]+Lab[[#This Row],[qtyTerima2025]]-(Lab[[#This Row],[qtyDist2025]]+Lab[[#This Row],[qtyEd2025]])</f>
        <v>3</v>
      </c>
      <c r="Q885" s="52">
        <f>Lab[[#This Row],[qtySaldoAkhir2025]]*Lab[[#This Row],[hargaSatuan]]</f>
        <v>480000</v>
      </c>
      <c r="R885" s="74"/>
      <c r="S885" s="32">
        <f t="shared" si="26"/>
        <v>480000</v>
      </c>
      <c r="T885" s="32">
        <f t="shared" si="27"/>
        <v>0</v>
      </c>
      <c r="U885" s="74"/>
      <c r="V885" s="74"/>
      <c r="X885" s="74"/>
      <c r="Y885" s="74"/>
      <c r="Z885" s="74"/>
      <c r="AA885" s="74"/>
      <c r="AB885" s="74"/>
      <c r="AC885" s="74"/>
      <c r="AD885" s="74"/>
      <c r="AE885" s="74"/>
      <c r="AF885" s="74"/>
      <c r="AG885" s="74"/>
      <c r="AH885" s="74"/>
      <c r="AI885" s="74"/>
      <c r="AJ885" s="74"/>
      <c r="AK885" s="74"/>
      <c r="AL885" s="74"/>
      <c r="AM885" s="74"/>
      <c r="AN885" s="74"/>
      <c r="AO885" s="74"/>
      <c r="AP885" s="74"/>
      <c r="AQ885" s="74"/>
      <c r="AR885" s="74"/>
      <c r="AS885" s="74"/>
      <c r="AT885" s="74"/>
      <c r="AU885" s="74"/>
      <c r="AV885" s="74"/>
      <c r="AW885" s="74"/>
      <c r="AX885" s="74"/>
      <c r="AY885" s="74"/>
      <c r="AZ885" s="74"/>
      <c r="BA885" s="74"/>
      <c r="BB885" s="74"/>
      <c r="BC885" s="74"/>
      <c r="BD885" s="74"/>
      <c r="BE885" s="74"/>
      <c r="BF885" s="74"/>
      <c r="BG885" s="74"/>
    </row>
    <row r="886" spans="1:59" ht="14.4" x14ac:dyDescent="0.3">
      <c r="A886" s="76">
        <v>69</v>
      </c>
      <c r="B886" s="45" t="s">
        <v>1055</v>
      </c>
      <c r="C886" s="108" t="s">
        <v>120</v>
      </c>
      <c r="D886" s="47" t="s">
        <v>1056</v>
      </c>
      <c r="E886" s="48">
        <v>46291</v>
      </c>
      <c r="F886" s="109">
        <v>180500</v>
      </c>
      <c r="G886" s="45" t="s">
        <v>40</v>
      </c>
      <c r="H886" s="50">
        <v>0</v>
      </c>
      <c r="I886" s="49">
        <f>Lab[[#This Row],[qtySaldoAwalSem1]]*Lab[[#This Row],[hargaSatuan]]</f>
        <v>0</v>
      </c>
      <c r="J886" s="50">
        <v>23</v>
      </c>
      <c r="K886" s="51">
        <f>Lab[[#This Row],[qtyTerima2025]]*Lab[[#This Row],[hargaSatuan]]</f>
        <v>4151500</v>
      </c>
      <c r="L886" s="50">
        <v>18</v>
      </c>
      <c r="M886" s="51">
        <f>Lab[[#This Row],[qtyDist2025]]*Lab[[#This Row],[hargaSatuan]]</f>
        <v>3249000</v>
      </c>
      <c r="N886" s="50">
        <v>0</v>
      </c>
      <c r="O886" s="51">
        <f>Lab[[#This Row],[qtyEd2025]]*Lab[[#This Row],[hargaSatuan]]</f>
        <v>0</v>
      </c>
      <c r="P886" s="50">
        <f>Lab[[#This Row],[qtySaldoAwalSem1]]+Lab[[#This Row],[qtyTerima2025]]-(Lab[[#This Row],[qtyDist2025]]+Lab[[#This Row],[qtyEd2025]])</f>
        <v>5</v>
      </c>
      <c r="Q886" s="52">
        <f>Lab[[#This Row],[qtySaldoAkhir2025]]*Lab[[#This Row],[hargaSatuan]]</f>
        <v>902500</v>
      </c>
      <c r="S886" s="32">
        <f t="shared" si="26"/>
        <v>902500</v>
      </c>
      <c r="T886" s="32">
        <f t="shared" si="27"/>
        <v>0</v>
      </c>
      <c r="W886" s="74"/>
    </row>
    <row r="887" spans="1:59" ht="14.4" x14ac:dyDescent="0.3">
      <c r="A887" s="44">
        <v>70</v>
      </c>
      <c r="B887" s="45" t="s">
        <v>1057</v>
      </c>
      <c r="C887" s="46" t="s">
        <v>120</v>
      </c>
      <c r="D887" s="47" t="s">
        <v>1058</v>
      </c>
      <c r="E887" s="48">
        <v>46290</v>
      </c>
      <c r="F887" s="49">
        <v>109650</v>
      </c>
      <c r="G887" s="45" t="s">
        <v>40</v>
      </c>
      <c r="H887" s="50">
        <v>0</v>
      </c>
      <c r="I887" s="49">
        <f>Lab[[#This Row],[qtySaldoAwalSem1]]*Lab[[#This Row],[hargaSatuan]]</f>
        <v>0</v>
      </c>
      <c r="J887" s="50">
        <v>5</v>
      </c>
      <c r="K887" s="51">
        <f>Lab[[#This Row],[qtyTerima2025]]*Lab[[#This Row],[hargaSatuan]]</f>
        <v>548250</v>
      </c>
      <c r="L887" s="50">
        <v>5</v>
      </c>
      <c r="M887" s="51">
        <f>Lab[[#This Row],[qtyDist2025]]*Lab[[#This Row],[hargaSatuan]]</f>
        <v>548250</v>
      </c>
      <c r="N887" s="50">
        <v>0</v>
      </c>
      <c r="O887" s="51">
        <f>Lab[[#This Row],[qtyEd2025]]*Lab[[#This Row],[hargaSatuan]]</f>
        <v>0</v>
      </c>
      <c r="P887" s="50">
        <f>Lab[[#This Row],[qtySaldoAwalSem1]]+Lab[[#This Row],[qtyTerima2025]]-(Lab[[#This Row],[qtyDist2025]]+Lab[[#This Row],[qtyEd2025]])</f>
        <v>0</v>
      </c>
      <c r="Q887" s="52">
        <f>Lab[[#This Row],[qtySaldoAkhir2025]]*Lab[[#This Row],[hargaSatuan]]</f>
        <v>0</v>
      </c>
      <c r="S887" s="32">
        <f t="shared" si="26"/>
        <v>0</v>
      </c>
      <c r="T887" s="32">
        <f t="shared" si="27"/>
        <v>0</v>
      </c>
      <c r="W887" s="74"/>
    </row>
    <row r="888" spans="1:59" ht="14.4" x14ac:dyDescent="0.3">
      <c r="A888" s="76">
        <v>71</v>
      </c>
      <c r="B888" s="45" t="s">
        <v>1057</v>
      </c>
      <c r="C888" s="46" t="s">
        <v>120</v>
      </c>
      <c r="D888" s="47" t="s">
        <v>1059</v>
      </c>
      <c r="E888" s="48" t="s">
        <v>1040</v>
      </c>
      <c r="F888" s="49">
        <v>109650</v>
      </c>
      <c r="G888" s="45" t="s">
        <v>40</v>
      </c>
      <c r="H888" s="50">
        <v>0</v>
      </c>
      <c r="I888" s="49">
        <f>Lab[[#This Row],[qtySaldoAwalSem1]]*Lab[[#This Row],[hargaSatuan]]</f>
        <v>0</v>
      </c>
      <c r="J888" s="50">
        <v>40</v>
      </c>
      <c r="K888" s="51">
        <f>Lab[[#This Row],[qtyTerima2025]]*Lab[[#This Row],[hargaSatuan]]</f>
        <v>4386000</v>
      </c>
      <c r="L888" s="50">
        <v>40</v>
      </c>
      <c r="M888" s="51">
        <f>Lab[[#This Row],[qtyDist2025]]*Lab[[#This Row],[hargaSatuan]]</f>
        <v>4386000</v>
      </c>
      <c r="N888" s="50">
        <v>0</v>
      </c>
      <c r="O888" s="51">
        <f>Lab[[#This Row],[qtyEd2025]]*Lab[[#This Row],[hargaSatuan]]</f>
        <v>0</v>
      </c>
      <c r="P888" s="50">
        <f>Lab[[#This Row],[qtySaldoAwalSem1]]+Lab[[#This Row],[qtyTerima2025]]-(Lab[[#This Row],[qtyDist2025]]+Lab[[#This Row],[qtyEd2025]])</f>
        <v>0</v>
      </c>
      <c r="Q888" s="52">
        <f>Lab[[#This Row],[qtySaldoAkhir2025]]*Lab[[#This Row],[hargaSatuan]]</f>
        <v>0</v>
      </c>
      <c r="S888" s="32">
        <f t="shared" si="26"/>
        <v>0</v>
      </c>
      <c r="T888" s="32">
        <f t="shared" si="27"/>
        <v>0</v>
      </c>
      <c r="W888" s="74"/>
    </row>
    <row r="889" spans="1:59" ht="14.4" x14ac:dyDescent="0.3">
      <c r="A889" s="44">
        <v>72</v>
      </c>
      <c r="B889" s="45" t="s">
        <v>1060</v>
      </c>
      <c r="C889" s="46" t="s">
        <v>120</v>
      </c>
      <c r="D889" s="47" t="s">
        <v>1061</v>
      </c>
      <c r="E889" s="48">
        <v>46199</v>
      </c>
      <c r="F889" s="49">
        <v>6100</v>
      </c>
      <c r="G889" s="45" t="s">
        <v>40</v>
      </c>
      <c r="H889" s="50">
        <v>0</v>
      </c>
      <c r="I889" s="49">
        <f>Lab[[#This Row],[qtySaldoAwalSem1]]*Lab[[#This Row],[hargaSatuan]]</f>
        <v>0</v>
      </c>
      <c r="J889" s="50">
        <v>175</v>
      </c>
      <c r="K889" s="51">
        <f>Lab[[#This Row],[qtyTerima2025]]*Lab[[#This Row],[hargaSatuan]]</f>
        <v>1067500</v>
      </c>
      <c r="L889" s="50">
        <v>25</v>
      </c>
      <c r="M889" s="51">
        <f>Lab[[#This Row],[qtyDist2025]]*Lab[[#This Row],[hargaSatuan]]</f>
        <v>152500</v>
      </c>
      <c r="N889" s="50">
        <v>0</v>
      </c>
      <c r="O889" s="51">
        <f>Lab[[#This Row],[qtyEd2025]]*Lab[[#This Row],[hargaSatuan]]</f>
        <v>0</v>
      </c>
      <c r="P889" s="50">
        <f>Lab[[#This Row],[qtySaldoAwalSem1]]+Lab[[#This Row],[qtyTerima2025]]-(Lab[[#This Row],[qtyDist2025]]+Lab[[#This Row],[qtyEd2025]])</f>
        <v>150</v>
      </c>
      <c r="Q889" s="52">
        <f>Lab[[#This Row],[qtySaldoAkhir2025]]*Lab[[#This Row],[hargaSatuan]]</f>
        <v>915000</v>
      </c>
      <c r="S889" s="32">
        <f t="shared" si="26"/>
        <v>915000</v>
      </c>
      <c r="T889" s="32">
        <f t="shared" si="27"/>
        <v>0</v>
      </c>
      <c r="W889" s="74"/>
    </row>
    <row r="890" spans="1:59" ht="14.4" x14ac:dyDescent="0.3">
      <c r="A890" s="76">
        <v>73</v>
      </c>
      <c r="B890" s="77" t="s">
        <v>1062</v>
      </c>
      <c r="C890" s="78" t="s">
        <v>120</v>
      </c>
      <c r="D890" s="79" t="s">
        <v>1063</v>
      </c>
      <c r="E890" s="80" t="s">
        <v>1040</v>
      </c>
      <c r="F890" s="81">
        <v>164100</v>
      </c>
      <c r="G890" s="77" t="s">
        <v>40</v>
      </c>
      <c r="H890" s="82">
        <v>8</v>
      </c>
      <c r="I890" s="49">
        <f>Lab[[#This Row],[qtySaldoAwalSem1]]*Lab[[#This Row],[hargaSatuan]]</f>
        <v>1312800</v>
      </c>
      <c r="J890" s="82">
        <v>7</v>
      </c>
      <c r="K890" s="51">
        <f>Lab[[#This Row],[qtyTerima2025]]*Lab[[#This Row],[hargaSatuan]]</f>
        <v>1148700</v>
      </c>
      <c r="L890" s="82">
        <v>15</v>
      </c>
      <c r="M890" s="51">
        <f>Lab[[#This Row],[qtyDist2025]]*Lab[[#This Row],[hargaSatuan]]</f>
        <v>2461500</v>
      </c>
      <c r="N890" s="82">
        <v>0</v>
      </c>
      <c r="O890" s="51">
        <f>Lab[[#This Row],[qtyEd2025]]*Lab[[#This Row],[hargaSatuan]]</f>
        <v>0</v>
      </c>
      <c r="P890" s="50">
        <f>Lab[[#This Row],[qtySaldoAwalSem1]]+Lab[[#This Row],[qtyTerima2025]]-(Lab[[#This Row],[qtyDist2025]]+Lab[[#This Row],[qtyEd2025]])</f>
        <v>0</v>
      </c>
      <c r="Q890" s="52">
        <f>Lab[[#This Row],[qtySaldoAkhir2025]]*Lab[[#This Row],[hargaSatuan]]</f>
        <v>0</v>
      </c>
      <c r="R890" s="74"/>
      <c r="S890" s="32">
        <f t="shared" si="26"/>
        <v>0</v>
      </c>
      <c r="T890" s="32">
        <f t="shared" si="27"/>
        <v>0</v>
      </c>
      <c r="U890" s="74"/>
      <c r="V890" s="74"/>
      <c r="W890" s="74"/>
      <c r="X890" s="74"/>
      <c r="Y890" s="74"/>
      <c r="Z890" s="74"/>
      <c r="AA890" s="74"/>
      <c r="AB890" s="74"/>
      <c r="AC890" s="74"/>
      <c r="AD890" s="74"/>
      <c r="AE890" s="74"/>
      <c r="AF890" s="74"/>
      <c r="AG890" s="74"/>
      <c r="AH890" s="74"/>
      <c r="AI890" s="74"/>
      <c r="AJ890" s="74"/>
      <c r="AK890" s="74"/>
      <c r="AL890" s="74"/>
      <c r="AM890" s="74"/>
      <c r="AN890" s="74"/>
      <c r="AO890" s="74"/>
      <c r="AP890" s="74"/>
      <c r="AQ890" s="74"/>
      <c r="AR890" s="74"/>
      <c r="AS890" s="74"/>
      <c r="AT890" s="74"/>
      <c r="AU890" s="74"/>
      <c r="AV890" s="74"/>
      <c r="AW890" s="74"/>
      <c r="AX890" s="74"/>
      <c r="AY890" s="74"/>
      <c r="AZ890" s="74"/>
      <c r="BA890" s="74"/>
      <c r="BB890" s="74"/>
      <c r="BC890" s="74"/>
      <c r="BD890" s="74"/>
      <c r="BE890" s="74"/>
      <c r="BF890" s="74"/>
      <c r="BG890" s="74"/>
    </row>
    <row r="891" spans="1:59" ht="14.4" x14ac:dyDescent="0.3">
      <c r="A891" s="44">
        <v>74</v>
      </c>
      <c r="B891" s="77" t="s">
        <v>1062</v>
      </c>
      <c r="C891" s="78" t="s">
        <v>120</v>
      </c>
      <c r="D891" s="79" t="s">
        <v>1064</v>
      </c>
      <c r="E891" s="80">
        <v>46352</v>
      </c>
      <c r="F891" s="81">
        <v>160000</v>
      </c>
      <c r="G891" s="77" t="s">
        <v>40</v>
      </c>
      <c r="H891" s="82">
        <v>0</v>
      </c>
      <c r="I891" s="49">
        <f>Lab[[#This Row],[qtySaldoAwalSem1]]*Lab[[#This Row],[hargaSatuan]]</f>
        <v>0</v>
      </c>
      <c r="J891" s="82">
        <v>23</v>
      </c>
      <c r="K891" s="51">
        <f>Lab[[#This Row],[qtyTerima2025]]*Lab[[#This Row],[hargaSatuan]]</f>
        <v>3680000</v>
      </c>
      <c r="L891" s="82">
        <v>23</v>
      </c>
      <c r="M891" s="51">
        <f>Lab[[#This Row],[qtyDist2025]]*Lab[[#This Row],[hargaSatuan]]</f>
        <v>3680000</v>
      </c>
      <c r="N891" s="82">
        <v>0</v>
      </c>
      <c r="O891" s="51">
        <f>Lab[[#This Row],[qtyEd2025]]*Lab[[#This Row],[hargaSatuan]]</f>
        <v>0</v>
      </c>
      <c r="P891" s="50">
        <f>Lab[[#This Row],[qtySaldoAwalSem1]]+Lab[[#This Row],[qtyTerima2025]]-(Lab[[#This Row],[qtyDist2025]]+Lab[[#This Row],[qtyEd2025]])</f>
        <v>0</v>
      </c>
      <c r="Q891" s="52">
        <f>Lab[[#This Row],[qtySaldoAkhir2025]]*Lab[[#This Row],[hargaSatuan]]</f>
        <v>0</v>
      </c>
      <c r="R891" s="74"/>
      <c r="S891" s="32">
        <f t="shared" si="26"/>
        <v>0</v>
      </c>
      <c r="T891" s="32">
        <f t="shared" si="27"/>
        <v>0</v>
      </c>
      <c r="U891" s="74"/>
      <c r="V891" s="74"/>
      <c r="W891" s="74"/>
      <c r="X891" s="74"/>
      <c r="Y891" s="74"/>
      <c r="Z891" s="74"/>
      <c r="AA891" s="74"/>
      <c r="AB891" s="74"/>
      <c r="AC891" s="74"/>
      <c r="AD891" s="74"/>
      <c r="AE891" s="74"/>
      <c r="AF891" s="74"/>
      <c r="AG891" s="74"/>
      <c r="AH891" s="74"/>
      <c r="AI891" s="74"/>
      <c r="AJ891" s="74"/>
      <c r="AK891" s="74"/>
      <c r="AL891" s="74"/>
      <c r="AM891" s="74"/>
      <c r="AN891" s="74"/>
      <c r="AO891" s="74"/>
      <c r="AP891" s="74"/>
      <c r="AQ891" s="74"/>
      <c r="AR891" s="74"/>
      <c r="AS891" s="74"/>
      <c r="AT891" s="74"/>
      <c r="AU891" s="74"/>
      <c r="AV891" s="74"/>
      <c r="AW891" s="74"/>
      <c r="AX891" s="74"/>
      <c r="AY891" s="74"/>
      <c r="AZ891" s="74"/>
      <c r="BA891" s="74"/>
      <c r="BB891" s="74"/>
      <c r="BC891" s="74"/>
      <c r="BD891" s="74"/>
      <c r="BE891" s="74"/>
      <c r="BF891" s="74"/>
      <c r="BG891" s="74"/>
    </row>
    <row r="892" spans="1:59" ht="14.4" x14ac:dyDescent="0.3">
      <c r="A892" s="76">
        <v>75</v>
      </c>
      <c r="B892" s="77" t="s">
        <v>1062</v>
      </c>
      <c r="C892" s="78" t="s">
        <v>120</v>
      </c>
      <c r="D892" s="79" t="s">
        <v>1065</v>
      </c>
      <c r="E892" s="80">
        <v>46352</v>
      </c>
      <c r="F892" s="81">
        <v>160000</v>
      </c>
      <c r="G892" s="77" t="s">
        <v>40</v>
      </c>
      <c r="H892" s="82">
        <v>0</v>
      </c>
      <c r="I892" s="49">
        <f>Lab[[#This Row],[qtySaldoAwalSem1]]*Lab[[#This Row],[hargaSatuan]]</f>
        <v>0</v>
      </c>
      <c r="J892" s="82">
        <v>20</v>
      </c>
      <c r="K892" s="51">
        <f>Lab[[#This Row],[qtyTerima2025]]*Lab[[#This Row],[hargaSatuan]]</f>
        <v>3200000</v>
      </c>
      <c r="L892" s="82">
        <v>20</v>
      </c>
      <c r="M892" s="51">
        <f>Lab[[#This Row],[qtyDist2025]]*Lab[[#This Row],[hargaSatuan]]</f>
        <v>3200000</v>
      </c>
      <c r="N892" s="82">
        <v>0</v>
      </c>
      <c r="O892" s="51">
        <f>Lab[[#This Row],[qtyEd2025]]*Lab[[#This Row],[hargaSatuan]]</f>
        <v>0</v>
      </c>
      <c r="P892" s="50">
        <f>Lab[[#This Row],[qtySaldoAwalSem1]]+Lab[[#This Row],[qtyTerima2025]]-(Lab[[#This Row],[qtyDist2025]]+Lab[[#This Row],[qtyEd2025]])</f>
        <v>0</v>
      </c>
      <c r="Q892" s="52">
        <f>Lab[[#This Row],[qtySaldoAkhir2025]]*Lab[[#This Row],[hargaSatuan]]</f>
        <v>0</v>
      </c>
      <c r="R892" s="74"/>
      <c r="S892" s="32">
        <f t="shared" si="26"/>
        <v>0</v>
      </c>
      <c r="T892" s="32">
        <f t="shared" si="27"/>
        <v>0</v>
      </c>
      <c r="U892" s="74"/>
      <c r="V892" s="74"/>
      <c r="X892" s="74"/>
      <c r="Y892" s="74"/>
      <c r="Z892" s="74"/>
      <c r="AA892" s="74"/>
      <c r="AB892" s="74"/>
      <c r="AC892" s="74"/>
      <c r="AD892" s="74"/>
      <c r="AE892" s="74"/>
      <c r="AF892" s="74"/>
      <c r="AG892" s="74"/>
      <c r="AH892" s="74"/>
      <c r="AI892" s="74"/>
      <c r="AJ892" s="74"/>
      <c r="AK892" s="74"/>
      <c r="AL892" s="74"/>
      <c r="AM892" s="74"/>
      <c r="AN892" s="74"/>
      <c r="AO892" s="74"/>
      <c r="AP892" s="74"/>
      <c r="AQ892" s="74"/>
      <c r="AR892" s="74"/>
      <c r="AS892" s="74"/>
      <c r="AT892" s="74"/>
      <c r="AU892" s="74"/>
      <c r="AV892" s="74"/>
      <c r="AW892" s="74"/>
      <c r="AX892" s="74"/>
      <c r="AY892" s="74"/>
      <c r="AZ892" s="74"/>
      <c r="BA892" s="74"/>
      <c r="BB892" s="74"/>
      <c r="BC892" s="74"/>
      <c r="BD892" s="74"/>
      <c r="BE892" s="74"/>
      <c r="BF892" s="74"/>
      <c r="BG892" s="74"/>
    </row>
    <row r="893" spans="1:59" ht="14.4" x14ac:dyDescent="0.3">
      <c r="A893" s="44">
        <v>76</v>
      </c>
      <c r="B893" s="77" t="s">
        <v>1062</v>
      </c>
      <c r="C893" s="78" t="s">
        <v>120</v>
      </c>
      <c r="D893" s="79" t="s">
        <v>1065</v>
      </c>
      <c r="E893" s="80">
        <v>46352</v>
      </c>
      <c r="F893" s="81">
        <v>160000</v>
      </c>
      <c r="G893" s="77" t="s">
        <v>40</v>
      </c>
      <c r="H893" s="82">
        <v>0</v>
      </c>
      <c r="I893" s="49">
        <f>Lab[[#This Row],[qtySaldoAwalSem1]]*Lab[[#This Row],[hargaSatuan]]</f>
        <v>0</v>
      </c>
      <c r="J893" s="82">
        <v>36</v>
      </c>
      <c r="K893" s="51">
        <f>Lab[[#This Row],[qtyTerima2025]]*Lab[[#This Row],[hargaSatuan]]</f>
        <v>5760000</v>
      </c>
      <c r="L893" s="82">
        <v>33</v>
      </c>
      <c r="M893" s="51">
        <f>Lab[[#This Row],[qtyDist2025]]*Lab[[#This Row],[hargaSatuan]]</f>
        <v>5280000</v>
      </c>
      <c r="N893" s="82">
        <v>0</v>
      </c>
      <c r="O893" s="51">
        <f>Lab[[#This Row],[qtyEd2025]]*Lab[[#This Row],[hargaSatuan]]</f>
        <v>0</v>
      </c>
      <c r="P893" s="50">
        <f>Lab[[#This Row],[qtySaldoAwalSem1]]+Lab[[#This Row],[qtyTerima2025]]-(Lab[[#This Row],[qtyDist2025]]+Lab[[#This Row],[qtyEd2025]])</f>
        <v>3</v>
      </c>
      <c r="Q893" s="52">
        <f>Lab[[#This Row],[qtySaldoAkhir2025]]*Lab[[#This Row],[hargaSatuan]]</f>
        <v>480000</v>
      </c>
      <c r="R893" s="74"/>
      <c r="S893" s="32">
        <f t="shared" si="26"/>
        <v>480000</v>
      </c>
      <c r="T893" s="32">
        <f t="shared" si="27"/>
        <v>0</v>
      </c>
      <c r="U893" s="74"/>
      <c r="V893" s="74"/>
      <c r="X893" s="74"/>
      <c r="Y893" s="74"/>
      <c r="Z893" s="74"/>
      <c r="AA893" s="74"/>
      <c r="AB893" s="74"/>
      <c r="AC893" s="74"/>
      <c r="AD893" s="74"/>
      <c r="AE893" s="74"/>
      <c r="AF893" s="74"/>
      <c r="AG893" s="74"/>
      <c r="AH893" s="74"/>
      <c r="AI893" s="74"/>
      <c r="AJ893" s="74"/>
      <c r="AK893" s="74"/>
      <c r="AL893" s="74"/>
      <c r="AM893" s="74"/>
      <c r="AN893" s="74"/>
      <c r="AO893" s="74"/>
      <c r="AP893" s="74"/>
      <c r="AQ893" s="74"/>
      <c r="AR893" s="74"/>
      <c r="AS893" s="74"/>
      <c r="AT893" s="74"/>
      <c r="AU893" s="74"/>
      <c r="AV893" s="74"/>
      <c r="AW893" s="74"/>
      <c r="AX893" s="74"/>
      <c r="AY893" s="74"/>
      <c r="AZ893" s="74"/>
      <c r="BA893" s="74"/>
      <c r="BB893" s="74"/>
      <c r="BC893" s="74"/>
      <c r="BD893" s="74"/>
      <c r="BE893" s="74"/>
      <c r="BF893" s="74"/>
      <c r="BG893" s="74"/>
    </row>
    <row r="894" spans="1:59" ht="14.4" x14ac:dyDescent="0.3">
      <c r="A894" s="76">
        <v>77</v>
      </c>
      <c r="B894" s="77" t="s">
        <v>1066</v>
      </c>
      <c r="C894" s="78" t="s">
        <v>38</v>
      </c>
      <c r="D894" s="79" t="s">
        <v>1067</v>
      </c>
      <c r="E894" s="80" t="s">
        <v>1040</v>
      </c>
      <c r="F894" s="81">
        <v>36900</v>
      </c>
      <c r="G894" s="77" t="s">
        <v>17</v>
      </c>
      <c r="H894" s="82">
        <v>12</v>
      </c>
      <c r="I894" s="49">
        <f>Lab[[#This Row],[qtySaldoAwalSem1]]*Lab[[#This Row],[hargaSatuan]]</f>
        <v>442800</v>
      </c>
      <c r="J894" s="82">
        <v>0</v>
      </c>
      <c r="K894" s="51">
        <f>Lab[[#This Row],[qtyTerima2025]]*Lab[[#This Row],[hargaSatuan]]</f>
        <v>0</v>
      </c>
      <c r="L894" s="82">
        <v>1</v>
      </c>
      <c r="M894" s="51">
        <f>Lab[[#This Row],[qtyDist2025]]*Lab[[#This Row],[hargaSatuan]]</f>
        <v>36900</v>
      </c>
      <c r="N894" s="82">
        <v>11</v>
      </c>
      <c r="O894" s="51">
        <f>Lab[[#This Row],[qtyEd2025]]*Lab[[#This Row],[hargaSatuan]]</f>
        <v>405900</v>
      </c>
      <c r="P894" s="50">
        <f>Lab[[#This Row],[qtySaldoAwalSem1]]+Lab[[#This Row],[qtyTerima2025]]-(Lab[[#This Row],[qtyDist2025]]+Lab[[#This Row],[qtyEd2025]])</f>
        <v>0</v>
      </c>
      <c r="Q894" s="52">
        <f>Lab[[#This Row],[qtySaldoAkhir2025]]*Lab[[#This Row],[hargaSatuan]]</f>
        <v>0</v>
      </c>
      <c r="R894" s="74"/>
      <c r="S894" s="32">
        <f t="shared" si="26"/>
        <v>0</v>
      </c>
      <c r="T894" s="32">
        <f t="shared" si="27"/>
        <v>0</v>
      </c>
      <c r="U894" s="74"/>
      <c r="V894" s="74"/>
      <c r="X894" s="74"/>
      <c r="Y894" s="74"/>
      <c r="Z894" s="74"/>
      <c r="AA894" s="74"/>
      <c r="AB894" s="74"/>
      <c r="AC894" s="74"/>
      <c r="AD894" s="74"/>
      <c r="AE894" s="74"/>
      <c r="AF894" s="74"/>
      <c r="AG894" s="74"/>
      <c r="AH894" s="74"/>
      <c r="AI894" s="74"/>
      <c r="AJ894" s="74"/>
      <c r="AK894" s="74"/>
      <c r="AL894" s="74"/>
      <c r="AM894" s="74"/>
      <c r="AN894" s="74"/>
      <c r="AO894" s="74"/>
      <c r="AP894" s="74"/>
      <c r="AQ894" s="74"/>
      <c r="AR894" s="74"/>
      <c r="AS894" s="74"/>
      <c r="AT894" s="74"/>
      <c r="AU894" s="74"/>
      <c r="AV894" s="74"/>
      <c r="AW894" s="74"/>
      <c r="AX894" s="74"/>
      <c r="AY894" s="74"/>
      <c r="AZ894" s="74"/>
      <c r="BA894" s="74"/>
      <c r="BB894" s="74"/>
      <c r="BC894" s="74"/>
      <c r="BD894" s="74"/>
      <c r="BE894" s="74"/>
      <c r="BF894" s="74"/>
      <c r="BG894" s="74"/>
    </row>
    <row r="895" spans="1:59" ht="14.4" x14ac:dyDescent="0.3">
      <c r="A895" s="44">
        <v>78</v>
      </c>
      <c r="B895" s="77" t="s">
        <v>1066</v>
      </c>
      <c r="C895" s="78" t="s">
        <v>38</v>
      </c>
      <c r="D895" s="79" t="s">
        <v>1068</v>
      </c>
      <c r="E895" s="80" t="s">
        <v>985</v>
      </c>
      <c r="F895" s="81">
        <v>45900</v>
      </c>
      <c r="G895" s="77" t="s">
        <v>17</v>
      </c>
      <c r="H895" s="82">
        <v>20</v>
      </c>
      <c r="I895" s="49">
        <f>Lab[[#This Row],[qtySaldoAwalSem1]]*Lab[[#This Row],[hargaSatuan]]</f>
        <v>918000</v>
      </c>
      <c r="J895" s="82">
        <v>0</v>
      </c>
      <c r="K895" s="51">
        <f>Lab[[#This Row],[qtyTerima2025]]*Lab[[#This Row],[hargaSatuan]]</f>
        <v>0</v>
      </c>
      <c r="L895" s="82">
        <v>0</v>
      </c>
      <c r="M895" s="51">
        <f>Lab[[#This Row],[qtyDist2025]]*Lab[[#This Row],[hargaSatuan]]</f>
        <v>0</v>
      </c>
      <c r="N895" s="82">
        <v>20</v>
      </c>
      <c r="O895" s="51">
        <f>Lab[[#This Row],[qtyEd2025]]*Lab[[#This Row],[hargaSatuan]]</f>
        <v>918000</v>
      </c>
      <c r="P895" s="50">
        <f>Lab[[#This Row],[qtySaldoAwalSem1]]+Lab[[#This Row],[qtyTerima2025]]-(Lab[[#This Row],[qtyDist2025]]+Lab[[#This Row],[qtyEd2025]])</f>
        <v>0</v>
      </c>
      <c r="Q895" s="52">
        <f>Lab[[#This Row],[qtySaldoAkhir2025]]*Lab[[#This Row],[hargaSatuan]]</f>
        <v>0</v>
      </c>
      <c r="R895" s="74"/>
      <c r="S895" s="32">
        <f t="shared" si="26"/>
        <v>0</v>
      </c>
      <c r="T895" s="32">
        <f t="shared" si="27"/>
        <v>0</v>
      </c>
      <c r="U895" s="74"/>
      <c r="V895" s="74"/>
      <c r="X895" s="74"/>
      <c r="Y895" s="74"/>
      <c r="Z895" s="74"/>
      <c r="AA895" s="74"/>
      <c r="AB895" s="74"/>
      <c r="AC895" s="74"/>
      <c r="AD895" s="74"/>
      <c r="AE895" s="74"/>
      <c r="AF895" s="74"/>
      <c r="AG895" s="74"/>
      <c r="AH895" s="74"/>
      <c r="AI895" s="74"/>
      <c r="AJ895" s="74"/>
      <c r="AK895" s="74"/>
      <c r="AL895" s="74"/>
      <c r="AM895" s="74"/>
      <c r="AN895" s="74"/>
      <c r="AO895" s="74"/>
      <c r="AP895" s="74"/>
      <c r="AQ895" s="74"/>
      <c r="AR895" s="74"/>
      <c r="AS895" s="74"/>
      <c r="AT895" s="74"/>
      <c r="AU895" s="74"/>
      <c r="AV895" s="74"/>
      <c r="AW895" s="74"/>
      <c r="AX895" s="74"/>
      <c r="AY895" s="74"/>
      <c r="AZ895" s="74"/>
      <c r="BA895" s="74"/>
      <c r="BB895" s="74"/>
      <c r="BC895" s="74"/>
      <c r="BD895" s="74"/>
      <c r="BE895" s="74"/>
      <c r="BF895" s="74"/>
      <c r="BG895" s="74"/>
    </row>
    <row r="896" spans="1:59" ht="14.4" x14ac:dyDescent="0.3">
      <c r="A896" s="76">
        <v>79</v>
      </c>
      <c r="B896" s="45" t="s">
        <v>1069</v>
      </c>
      <c r="C896" s="46" t="s">
        <v>1070</v>
      </c>
      <c r="D896" s="47">
        <v>3062488</v>
      </c>
      <c r="E896" s="48" t="s">
        <v>1034</v>
      </c>
      <c r="F896" s="49">
        <v>275457.58333333331</v>
      </c>
      <c r="G896" s="45" t="s">
        <v>17</v>
      </c>
      <c r="H896" s="50">
        <v>21</v>
      </c>
      <c r="I896" s="49">
        <f>Lab[[#This Row],[qtySaldoAwalSem1]]*Lab[[#This Row],[hargaSatuan]]</f>
        <v>5784609.25</v>
      </c>
      <c r="J896" s="50">
        <v>0</v>
      </c>
      <c r="K896" s="51">
        <f>Lab[[#This Row],[qtyTerima2025]]*Lab[[#This Row],[hargaSatuan]]</f>
        <v>0</v>
      </c>
      <c r="L896" s="50">
        <v>1</v>
      </c>
      <c r="M896" s="51">
        <f>Lab[[#This Row],[qtyDist2025]]*Lab[[#This Row],[hargaSatuan]]</f>
        <v>275457.58333333331</v>
      </c>
      <c r="N896" s="50">
        <v>0</v>
      </c>
      <c r="O896" s="51">
        <f>Lab[[#This Row],[qtyEd2025]]*Lab[[#This Row],[hargaSatuan]]</f>
        <v>0</v>
      </c>
      <c r="P896" s="50">
        <f>Lab[[#This Row],[qtySaldoAwalSem1]]+Lab[[#This Row],[qtyTerima2025]]-(Lab[[#This Row],[qtyDist2025]]+Lab[[#This Row],[qtyEd2025]])</f>
        <v>20</v>
      </c>
      <c r="Q896" s="52">
        <f>Lab[[#This Row],[qtySaldoAkhir2025]]*Lab[[#This Row],[hargaSatuan]]</f>
        <v>5509151.666666666</v>
      </c>
      <c r="S896" s="32">
        <f t="shared" si="26"/>
        <v>5509151.666666667</v>
      </c>
      <c r="T896" s="32">
        <f t="shared" si="27"/>
        <v>-9.3132257461547852E-10</v>
      </c>
    </row>
    <row r="897" spans="1:59" ht="14.4" x14ac:dyDescent="0.3">
      <c r="A897" s="44">
        <v>80</v>
      </c>
      <c r="B897" s="45" t="s">
        <v>1071</v>
      </c>
      <c r="C897" s="46" t="s">
        <v>752</v>
      </c>
      <c r="D897" s="47" t="s">
        <v>1072</v>
      </c>
      <c r="E897" s="48">
        <v>46291</v>
      </c>
      <c r="F897" s="49">
        <v>112400</v>
      </c>
      <c r="G897" s="45" t="s">
        <v>17</v>
      </c>
      <c r="H897" s="50">
        <v>23</v>
      </c>
      <c r="I897" s="49">
        <f>Lab[[#This Row],[qtySaldoAwalSem1]]*Lab[[#This Row],[hargaSatuan]]</f>
        <v>2585200</v>
      </c>
      <c r="J897" s="50">
        <v>0</v>
      </c>
      <c r="K897" s="51">
        <f>Lab[[#This Row],[qtyTerima2025]]*Lab[[#This Row],[hargaSatuan]]</f>
        <v>0</v>
      </c>
      <c r="L897" s="50">
        <v>23</v>
      </c>
      <c r="M897" s="51">
        <f>Lab[[#This Row],[qtyDist2025]]*Lab[[#This Row],[hargaSatuan]]</f>
        <v>2585200</v>
      </c>
      <c r="N897" s="50">
        <v>0</v>
      </c>
      <c r="O897" s="51">
        <f>Lab[[#This Row],[qtyEd2025]]*Lab[[#This Row],[hargaSatuan]]</f>
        <v>0</v>
      </c>
      <c r="P897" s="50">
        <f>Lab[[#This Row],[qtySaldoAwalSem1]]+Lab[[#This Row],[qtyTerima2025]]-(Lab[[#This Row],[qtyDist2025]]+Lab[[#This Row],[qtyEd2025]])</f>
        <v>0</v>
      </c>
      <c r="Q897" s="52">
        <f>Lab[[#This Row],[qtySaldoAkhir2025]]*Lab[[#This Row],[hargaSatuan]]</f>
        <v>0</v>
      </c>
      <c r="S897" s="32">
        <f t="shared" si="26"/>
        <v>0</v>
      </c>
      <c r="T897" s="32">
        <f t="shared" si="27"/>
        <v>0</v>
      </c>
    </row>
    <row r="898" spans="1:59" ht="14.4" x14ac:dyDescent="0.3">
      <c r="A898" s="76">
        <v>81</v>
      </c>
      <c r="B898" s="45" t="s">
        <v>1071</v>
      </c>
      <c r="C898" s="46" t="s">
        <v>752</v>
      </c>
      <c r="D898" s="47" t="s">
        <v>1073</v>
      </c>
      <c r="E898" s="48">
        <v>46292</v>
      </c>
      <c r="F898" s="49">
        <v>107592.31</v>
      </c>
      <c r="G898" s="45" t="s">
        <v>41</v>
      </c>
      <c r="H898" s="50">
        <v>0</v>
      </c>
      <c r="I898" s="49">
        <f>Lab[[#This Row],[qtySaldoAwalSem1]]*Lab[[#This Row],[hargaSatuan]]</f>
        <v>0</v>
      </c>
      <c r="J898" s="50">
        <v>13</v>
      </c>
      <c r="K898" s="51">
        <f>Lab[[#This Row],[qtyTerima2025]]*Lab[[#This Row],[hargaSatuan]]</f>
        <v>1398700.03</v>
      </c>
      <c r="L898" s="50">
        <v>5</v>
      </c>
      <c r="M898" s="51">
        <f>Lab[[#This Row],[qtyDist2025]]*Lab[[#This Row],[hargaSatuan]]</f>
        <v>537961.55000000005</v>
      </c>
      <c r="N898" s="50">
        <v>0</v>
      </c>
      <c r="O898" s="51">
        <f>Lab[[#This Row],[qtyEd2025]]*Lab[[#This Row],[hargaSatuan]]</f>
        <v>0</v>
      </c>
      <c r="P898" s="50">
        <f>Lab[[#This Row],[qtySaldoAwalSem1]]+Lab[[#This Row],[qtyTerima2025]]-(Lab[[#This Row],[qtyDist2025]]+Lab[[#This Row],[qtyEd2025]])</f>
        <v>8</v>
      </c>
      <c r="Q898" s="52">
        <f>Lab[[#This Row],[qtySaldoAkhir2025]]*Lab[[#This Row],[hargaSatuan]]</f>
        <v>860738.48</v>
      </c>
      <c r="S898" s="32">
        <f t="shared" si="26"/>
        <v>860738.48</v>
      </c>
      <c r="T898" s="32">
        <f t="shared" si="27"/>
        <v>0</v>
      </c>
    </row>
    <row r="899" spans="1:59" ht="14.4" x14ac:dyDescent="0.3">
      <c r="A899" s="44">
        <v>82</v>
      </c>
      <c r="B899" s="45" t="s">
        <v>1074</v>
      </c>
      <c r="C899" s="46" t="s">
        <v>38</v>
      </c>
      <c r="D899" s="47" t="s">
        <v>1075</v>
      </c>
      <c r="E899" s="48">
        <v>46291</v>
      </c>
      <c r="F899" s="49">
        <v>139900</v>
      </c>
      <c r="G899" s="45" t="s">
        <v>36</v>
      </c>
      <c r="H899" s="50">
        <v>0</v>
      </c>
      <c r="I899" s="49">
        <f>Lab[[#This Row],[qtySaldoAwalSem1]]*Lab[[#This Row],[hargaSatuan]]</f>
        <v>0</v>
      </c>
      <c r="J899" s="50">
        <v>25</v>
      </c>
      <c r="K899" s="51">
        <f>Lab[[#This Row],[qtyTerima2025]]*Lab[[#This Row],[hargaSatuan]]</f>
        <v>3497500</v>
      </c>
      <c r="L899" s="50">
        <v>0</v>
      </c>
      <c r="M899" s="51">
        <f>Lab[[#This Row],[qtyDist2025]]*Lab[[#This Row],[hargaSatuan]]</f>
        <v>0</v>
      </c>
      <c r="N899" s="50">
        <v>0</v>
      </c>
      <c r="O899" s="51">
        <f>Lab[[#This Row],[qtyEd2025]]*Lab[[#This Row],[hargaSatuan]]</f>
        <v>0</v>
      </c>
      <c r="P899" s="50">
        <f>Lab[[#This Row],[qtySaldoAwalSem1]]+Lab[[#This Row],[qtyTerima2025]]-(Lab[[#This Row],[qtyDist2025]]+Lab[[#This Row],[qtyEd2025]])</f>
        <v>25</v>
      </c>
      <c r="Q899" s="52">
        <f>Lab[[#This Row],[qtySaldoAkhir2025]]*Lab[[#This Row],[hargaSatuan]]</f>
        <v>3497500</v>
      </c>
      <c r="S899" s="32">
        <f t="shared" si="26"/>
        <v>3497500</v>
      </c>
      <c r="T899" s="32">
        <f t="shared" si="27"/>
        <v>0</v>
      </c>
    </row>
    <row r="900" spans="1:59" ht="14.4" x14ac:dyDescent="0.3">
      <c r="A900" s="76">
        <v>83</v>
      </c>
      <c r="B900" s="45" t="s">
        <v>1076</v>
      </c>
      <c r="C900" s="46" t="s">
        <v>752</v>
      </c>
      <c r="D900" s="47" t="s">
        <v>1077</v>
      </c>
      <c r="E900" s="48">
        <v>46229</v>
      </c>
      <c r="F900" s="49">
        <v>112400</v>
      </c>
      <c r="G900" s="45" t="s">
        <v>17</v>
      </c>
      <c r="H900" s="50">
        <v>26</v>
      </c>
      <c r="I900" s="49">
        <f>Lab[[#This Row],[qtySaldoAwalSem1]]*Lab[[#This Row],[hargaSatuan]]</f>
        <v>2922400</v>
      </c>
      <c r="J900" s="50">
        <v>0</v>
      </c>
      <c r="K900" s="51">
        <f>Lab[[#This Row],[qtyTerima2025]]*Lab[[#This Row],[hargaSatuan]]</f>
        <v>0</v>
      </c>
      <c r="L900" s="50">
        <v>16</v>
      </c>
      <c r="M900" s="51">
        <f>Lab[[#This Row],[qtyDist2025]]*Lab[[#This Row],[hargaSatuan]]</f>
        <v>1798400</v>
      </c>
      <c r="N900" s="50">
        <v>0</v>
      </c>
      <c r="O900" s="51">
        <f>Lab[[#This Row],[qtyEd2025]]*Lab[[#This Row],[hargaSatuan]]</f>
        <v>0</v>
      </c>
      <c r="P900" s="50">
        <f>Lab[[#This Row],[qtySaldoAwalSem1]]+Lab[[#This Row],[qtyTerima2025]]-(Lab[[#This Row],[qtyDist2025]]+Lab[[#This Row],[qtyEd2025]])</f>
        <v>10</v>
      </c>
      <c r="Q900" s="52">
        <f>Lab[[#This Row],[qtySaldoAkhir2025]]*Lab[[#This Row],[hargaSatuan]]</f>
        <v>1124000</v>
      </c>
      <c r="S900" s="32">
        <f t="shared" si="26"/>
        <v>1124000</v>
      </c>
      <c r="T900" s="32">
        <f t="shared" si="27"/>
        <v>0</v>
      </c>
      <c r="W900" s="74"/>
    </row>
    <row r="901" spans="1:59" ht="14.4" x14ac:dyDescent="0.3">
      <c r="A901" s="44">
        <v>84</v>
      </c>
      <c r="B901" s="45" t="s">
        <v>1078</v>
      </c>
      <c r="C901" s="46" t="s">
        <v>752</v>
      </c>
      <c r="D901" s="47" t="s">
        <v>1079</v>
      </c>
      <c r="E901" s="48">
        <v>46291</v>
      </c>
      <c r="F901" s="49">
        <v>112400</v>
      </c>
      <c r="G901" s="45" t="s">
        <v>17</v>
      </c>
      <c r="H901" s="50">
        <v>24</v>
      </c>
      <c r="I901" s="49">
        <f>Lab[[#This Row],[qtySaldoAwalSem1]]*Lab[[#This Row],[hargaSatuan]]</f>
        <v>2697600</v>
      </c>
      <c r="J901" s="50">
        <v>0</v>
      </c>
      <c r="K901" s="51">
        <f>Lab[[#This Row],[qtyTerima2025]]*Lab[[#This Row],[hargaSatuan]]</f>
        <v>0</v>
      </c>
      <c r="L901" s="50">
        <v>24</v>
      </c>
      <c r="M901" s="51">
        <f>Lab[[#This Row],[qtyDist2025]]*Lab[[#This Row],[hargaSatuan]]</f>
        <v>2697600</v>
      </c>
      <c r="N901" s="50">
        <v>0</v>
      </c>
      <c r="O901" s="51">
        <f>Lab[[#This Row],[qtyEd2025]]*Lab[[#This Row],[hargaSatuan]]</f>
        <v>0</v>
      </c>
      <c r="P901" s="50">
        <f>Lab[[#This Row],[qtySaldoAwalSem1]]+Lab[[#This Row],[qtyTerima2025]]-(Lab[[#This Row],[qtyDist2025]]+Lab[[#This Row],[qtyEd2025]])</f>
        <v>0</v>
      </c>
      <c r="Q901" s="52">
        <f>Lab[[#This Row],[qtySaldoAkhir2025]]*Lab[[#This Row],[hargaSatuan]]</f>
        <v>0</v>
      </c>
      <c r="S901" s="32">
        <f t="shared" si="26"/>
        <v>0</v>
      </c>
      <c r="T901" s="32">
        <f t="shared" si="27"/>
        <v>0</v>
      </c>
      <c r="W901" s="74"/>
    </row>
    <row r="902" spans="1:59" ht="14.4" x14ac:dyDescent="0.3">
      <c r="A902" s="76">
        <v>85</v>
      </c>
      <c r="B902" s="45" t="s">
        <v>1078</v>
      </c>
      <c r="C902" s="46" t="s">
        <v>752</v>
      </c>
      <c r="D902" s="47" t="s">
        <v>1080</v>
      </c>
      <c r="E902" s="48" t="s">
        <v>1081</v>
      </c>
      <c r="F902" s="49">
        <v>107592.31</v>
      </c>
      <c r="G902" s="45" t="s">
        <v>41</v>
      </c>
      <c r="H902" s="50">
        <v>0</v>
      </c>
      <c r="I902" s="49">
        <f>Lab[[#This Row],[qtySaldoAwalSem1]]*Lab[[#This Row],[hargaSatuan]]</f>
        <v>0</v>
      </c>
      <c r="J902" s="50">
        <v>13</v>
      </c>
      <c r="K902" s="51">
        <f>Lab[[#This Row],[qtyTerima2025]]*Lab[[#This Row],[hargaSatuan]]</f>
        <v>1398700.03</v>
      </c>
      <c r="L902" s="50">
        <v>3</v>
      </c>
      <c r="M902" s="51">
        <f>Lab[[#This Row],[qtyDist2025]]*Lab[[#This Row],[hargaSatuan]]</f>
        <v>322776.93</v>
      </c>
      <c r="N902" s="50">
        <v>0</v>
      </c>
      <c r="O902" s="51">
        <f>Lab[[#This Row],[qtyEd2025]]*Lab[[#This Row],[hargaSatuan]]</f>
        <v>0</v>
      </c>
      <c r="P902" s="50">
        <f>Lab[[#This Row],[qtySaldoAwalSem1]]+Lab[[#This Row],[qtyTerima2025]]-(Lab[[#This Row],[qtyDist2025]]+Lab[[#This Row],[qtyEd2025]])</f>
        <v>10</v>
      </c>
      <c r="Q902" s="52">
        <f>Lab[[#This Row],[qtySaldoAkhir2025]]*Lab[[#This Row],[hargaSatuan]]</f>
        <v>1075923.1000000001</v>
      </c>
      <c r="S902" s="32">
        <f t="shared" si="26"/>
        <v>1075923.1000000001</v>
      </c>
      <c r="T902" s="32">
        <f t="shared" si="27"/>
        <v>0</v>
      </c>
    </row>
    <row r="903" spans="1:59" ht="14.4" x14ac:dyDescent="0.3">
      <c r="A903" s="44">
        <v>86</v>
      </c>
      <c r="B903" s="45" t="s">
        <v>1082</v>
      </c>
      <c r="C903" s="46" t="s">
        <v>752</v>
      </c>
      <c r="D903" s="47" t="s">
        <v>1083</v>
      </c>
      <c r="E903" s="48">
        <v>46291</v>
      </c>
      <c r="F903" s="49">
        <v>112400</v>
      </c>
      <c r="G903" s="45" t="s">
        <v>17</v>
      </c>
      <c r="H903" s="50">
        <v>33</v>
      </c>
      <c r="I903" s="49">
        <f>Lab[[#This Row],[qtySaldoAwalSem1]]*Lab[[#This Row],[hargaSatuan]]</f>
        <v>3709200</v>
      </c>
      <c r="J903" s="50">
        <v>0</v>
      </c>
      <c r="K903" s="51">
        <f>Lab[[#This Row],[qtyTerima2025]]*Lab[[#This Row],[hargaSatuan]]</f>
        <v>0</v>
      </c>
      <c r="L903" s="50">
        <v>27</v>
      </c>
      <c r="M903" s="51">
        <f>Lab[[#This Row],[qtyDist2025]]*Lab[[#This Row],[hargaSatuan]]</f>
        <v>3034800</v>
      </c>
      <c r="N903" s="50">
        <v>0</v>
      </c>
      <c r="O903" s="51">
        <f>Lab[[#This Row],[qtyEd2025]]*Lab[[#This Row],[hargaSatuan]]</f>
        <v>0</v>
      </c>
      <c r="P903" s="50">
        <f>Lab[[#This Row],[qtySaldoAwalSem1]]+Lab[[#This Row],[qtyTerima2025]]-(Lab[[#This Row],[qtyDist2025]]+Lab[[#This Row],[qtyEd2025]])</f>
        <v>6</v>
      </c>
      <c r="Q903" s="52">
        <f>Lab[[#This Row],[qtySaldoAkhir2025]]*Lab[[#This Row],[hargaSatuan]]</f>
        <v>674400</v>
      </c>
      <c r="S903" s="32">
        <f t="shared" si="26"/>
        <v>674400</v>
      </c>
      <c r="T903" s="32">
        <f t="shared" si="27"/>
        <v>0</v>
      </c>
      <c r="W903" s="74"/>
    </row>
    <row r="904" spans="1:59" ht="14.4" x14ac:dyDescent="0.3">
      <c r="A904" s="76">
        <v>87</v>
      </c>
      <c r="B904" s="77" t="s">
        <v>1084</v>
      </c>
      <c r="C904" s="78" t="s">
        <v>38</v>
      </c>
      <c r="D904" s="79" t="s">
        <v>1085</v>
      </c>
      <c r="E904" s="80" t="s">
        <v>1040</v>
      </c>
      <c r="F904" s="81">
        <v>315000</v>
      </c>
      <c r="G904" s="77" t="s">
        <v>17</v>
      </c>
      <c r="H904" s="82">
        <v>16</v>
      </c>
      <c r="I904" s="49">
        <f>Lab[[#This Row],[qtySaldoAwalSem1]]*Lab[[#This Row],[hargaSatuan]]</f>
        <v>5040000</v>
      </c>
      <c r="J904" s="82">
        <v>0</v>
      </c>
      <c r="K904" s="51">
        <f>Lab[[#This Row],[qtyTerima2025]]*Lab[[#This Row],[hargaSatuan]]</f>
        <v>0</v>
      </c>
      <c r="L904" s="82">
        <v>3</v>
      </c>
      <c r="M904" s="51">
        <f>Lab[[#This Row],[qtyDist2025]]*Lab[[#This Row],[hargaSatuan]]</f>
        <v>945000</v>
      </c>
      <c r="N904" s="82">
        <v>13</v>
      </c>
      <c r="O904" s="51">
        <f>Lab[[#This Row],[qtyEd2025]]*Lab[[#This Row],[hargaSatuan]]</f>
        <v>4095000</v>
      </c>
      <c r="P904" s="50">
        <f>Lab[[#This Row],[qtySaldoAwalSem1]]+Lab[[#This Row],[qtyTerima2025]]-(Lab[[#This Row],[qtyDist2025]]+Lab[[#This Row],[qtyEd2025]])</f>
        <v>0</v>
      </c>
      <c r="Q904" s="52">
        <f>Lab[[#This Row],[qtySaldoAkhir2025]]*Lab[[#This Row],[hargaSatuan]]</f>
        <v>0</v>
      </c>
      <c r="R904" s="74"/>
      <c r="S904" s="32">
        <f t="shared" si="26"/>
        <v>0</v>
      </c>
      <c r="T904" s="32">
        <f t="shared" si="27"/>
        <v>0</v>
      </c>
      <c r="U904" s="74"/>
      <c r="V904" s="74"/>
      <c r="X904" s="74"/>
      <c r="Y904" s="74"/>
      <c r="Z904" s="74"/>
      <c r="AA904" s="74"/>
      <c r="AB904" s="74"/>
      <c r="AC904" s="74"/>
      <c r="AD904" s="74"/>
      <c r="AE904" s="74"/>
      <c r="AF904" s="74"/>
      <c r="AG904" s="74"/>
      <c r="AH904" s="74"/>
      <c r="AI904" s="74"/>
      <c r="AJ904" s="74"/>
      <c r="AK904" s="74"/>
      <c r="AL904" s="74"/>
      <c r="AM904" s="74"/>
      <c r="AN904" s="74"/>
      <c r="AO904" s="74"/>
      <c r="AP904" s="74"/>
      <c r="AQ904" s="74"/>
      <c r="AR904" s="74"/>
      <c r="AS904" s="74"/>
      <c r="AT904" s="74"/>
      <c r="AU904" s="74"/>
      <c r="AV904" s="74"/>
      <c r="AW904" s="74"/>
      <c r="AX904" s="74"/>
      <c r="AY904" s="74"/>
      <c r="AZ904" s="74"/>
      <c r="BA904" s="74"/>
      <c r="BB904" s="74"/>
      <c r="BC904" s="74"/>
      <c r="BD904" s="74"/>
      <c r="BE904" s="74"/>
      <c r="BF904" s="74"/>
      <c r="BG904" s="74"/>
    </row>
    <row r="905" spans="1:59" ht="14.4" x14ac:dyDescent="0.3">
      <c r="A905" s="44">
        <v>88</v>
      </c>
      <c r="B905" s="77" t="s">
        <v>1084</v>
      </c>
      <c r="C905" s="78" t="s">
        <v>38</v>
      </c>
      <c r="D905" s="79" t="s">
        <v>1086</v>
      </c>
      <c r="E905" s="80" t="s">
        <v>985</v>
      </c>
      <c r="F905" s="81">
        <v>333571.42857142858</v>
      </c>
      <c r="G905" s="77" t="s">
        <v>17</v>
      </c>
      <c r="H905" s="82">
        <v>14</v>
      </c>
      <c r="I905" s="49">
        <f>Lab[[#This Row],[qtySaldoAwalSem1]]*Lab[[#This Row],[hargaSatuan]]</f>
        <v>4670000</v>
      </c>
      <c r="J905" s="82">
        <v>0</v>
      </c>
      <c r="K905" s="51">
        <f>Lab[[#This Row],[qtyTerima2025]]*Lab[[#This Row],[hargaSatuan]]</f>
        <v>0</v>
      </c>
      <c r="L905" s="82">
        <v>0</v>
      </c>
      <c r="M905" s="51">
        <f>Lab[[#This Row],[qtyDist2025]]*Lab[[#This Row],[hargaSatuan]]</f>
        <v>0</v>
      </c>
      <c r="N905" s="82">
        <v>14</v>
      </c>
      <c r="O905" s="51">
        <f>Lab[[#This Row],[qtyEd2025]]*Lab[[#This Row],[hargaSatuan]]</f>
        <v>4670000</v>
      </c>
      <c r="P905" s="50">
        <f>Lab[[#This Row],[qtySaldoAwalSem1]]+Lab[[#This Row],[qtyTerima2025]]-(Lab[[#This Row],[qtyDist2025]]+Lab[[#This Row],[qtyEd2025]])</f>
        <v>0</v>
      </c>
      <c r="Q905" s="52">
        <f>Lab[[#This Row],[qtySaldoAkhir2025]]*Lab[[#This Row],[hargaSatuan]]</f>
        <v>0</v>
      </c>
      <c r="R905" s="74"/>
      <c r="S905" s="32">
        <f t="shared" ref="S905:S968" si="28">IFERROR(I905+K905-(M905+O905),0)</f>
        <v>0</v>
      </c>
      <c r="T905" s="32">
        <f t="shared" ref="T905:T968" si="29">IFERROR(Q905-S905,0)</f>
        <v>0</v>
      </c>
      <c r="U905" s="74"/>
      <c r="V905" s="74"/>
      <c r="X905" s="74"/>
      <c r="Y905" s="74"/>
      <c r="Z905" s="74"/>
      <c r="AA905" s="74"/>
      <c r="AB905" s="74"/>
      <c r="AC905" s="74"/>
      <c r="AD905" s="74"/>
      <c r="AE905" s="74"/>
      <c r="AF905" s="74"/>
      <c r="AG905" s="74"/>
      <c r="AH905" s="74"/>
      <c r="AI905" s="74"/>
      <c r="AJ905" s="74"/>
      <c r="AK905" s="74"/>
      <c r="AL905" s="74"/>
      <c r="AM905" s="74"/>
      <c r="AN905" s="74"/>
      <c r="AO905" s="74"/>
      <c r="AP905" s="74"/>
      <c r="AQ905" s="74"/>
      <c r="AR905" s="74"/>
      <c r="AS905" s="74"/>
      <c r="AT905" s="74"/>
      <c r="AU905" s="74"/>
      <c r="AV905" s="74"/>
      <c r="AW905" s="74"/>
      <c r="AX905" s="74"/>
      <c r="AY905" s="74"/>
      <c r="AZ905" s="74"/>
      <c r="BA905" s="74"/>
      <c r="BB905" s="74"/>
      <c r="BC905" s="74"/>
      <c r="BD905" s="74"/>
      <c r="BE905" s="74"/>
      <c r="BF905" s="74"/>
      <c r="BG905" s="74"/>
    </row>
    <row r="906" spans="1:59" ht="14.4" x14ac:dyDescent="0.3">
      <c r="A906" s="76">
        <v>89</v>
      </c>
      <c r="B906" s="45" t="s">
        <v>1087</v>
      </c>
      <c r="C906" s="46" t="s">
        <v>968</v>
      </c>
      <c r="D906" s="47" t="s">
        <v>1088</v>
      </c>
      <c r="E906" s="48">
        <v>46290</v>
      </c>
      <c r="F906" s="49">
        <v>599507.69230769225</v>
      </c>
      <c r="G906" s="45" t="s">
        <v>54</v>
      </c>
      <c r="H906" s="50">
        <v>13</v>
      </c>
      <c r="I906" s="49">
        <f>Lab[[#This Row],[qtySaldoAwalSem1]]*Lab[[#This Row],[hargaSatuan]]</f>
        <v>7793599.9999999991</v>
      </c>
      <c r="J906" s="50">
        <v>0</v>
      </c>
      <c r="K906" s="51">
        <f>Lab[[#This Row],[qtyTerima2025]]*Lab[[#This Row],[hargaSatuan]]</f>
        <v>0</v>
      </c>
      <c r="L906" s="75">
        <v>2</v>
      </c>
      <c r="M906" s="51">
        <f>Lab[[#This Row],[qtyDist2025]]*Lab[[#This Row],[hargaSatuan]]</f>
        <v>1199015.3846153845</v>
      </c>
      <c r="N906" s="75">
        <v>11</v>
      </c>
      <c r="O906" s="51">
        <f>Lab[[#This Row],[qtyEd2025]]*Lab[[#This Row],[hargaSatuan]]</f>
        <v>6594584.615384615</v>
      </c>
      <c r="P906" s="50">
        <f>Lab[[#This Row],[qtySaldoAwalSem1]]+Lab[[#This Row],[qtyTerima2025]]-(Lab[[#This Row],[qtyDist2025]]+Lab[[#This Row],[qtyEd2025]])</f>
        <v>0</v>
      </c>
      <c r="Q906" s="52">
        <f>Lab[[#This Row],[qtySaldoAkhir2025]]*Lab[[#This Row],[hargaSatuan]]</f>
        <v>0</v>
      </c>
      <c r="S906" s="32">
        <f t="shared" si="28"/>
        <v>-9.3132257461547852E-10</v>
      </c>
      <c r="T906" s="32">
        <f t="shared" si="29"/>
        <v>9.3132257461547852E-10</v>
      </c>
      <c r="W906" s="74"/>
    </row>
    <row r="907" spans="1:59" ht="14.4" x14ac:dyDescent="0.3">
      <c r="A907" s="44">
        <v>90</v>
      </c>
      <c r="B907" s="77" t="s">
        <v>1089</v>
      </c>
      <c r="C907" s="78" t="s">
        <v>962</v>
      </c>
      <c r="D907" s="79" t="s">
        <v>1090</v>
      </c>
      <c r="E907" s="80">
        <v>46078</v>
      </c>
      <c r="F907" s="81">
        <v>694900</v>
      </c>
      <c r="G907" s="77" t="s">
        <v>17</v>
      </c>
      <c r="H907" s="82">
        <v>1</v>
      </c>
      <c r="I907" s="49">
        <f>Lab[[#This Row],[qtySaldoAwalSem1]]*Lab[[#This Row],[hargaSatuan]]</f>
        <v>694900</v>
      </c>
      <c r="J907" s="82">
        <v>0</v>
      </c>
      <c r="K907" s="51">
        <f>Lab[[#This Row],[qtyTerima2025]]*Lab[[#This Row],[hargaSatuan]]</f>
        <v>0</v>
      </c>
      <c r="L907" s="82">
        <v>0</v>
      </c>
      <c r="M907" s="51">
        <f>Lab[[#This Row],[qtyDist2025]]*Lab[[#This Row],[hargaSatuan]]</f>
        <v>0</v>
      </c>
      <c r="N907" s="82">
        <v>1</v>
      </c>
      <c r="O907" s="51">
        <f>Lab[[#This Row],[qtyEd2025]]*Lab[[#This Row],[hargaSatuan]]</f>
        <v>694900</v>
      </c>
      <c r="P907" s="50">
        <f>Lab[[#This Row],[qtySaldoAwalSem1]]+Lab[[#This Row],[qtyTerima2025]]-(Lab[[#This Row],[qtyDist2025]]+Lab[[#This Row],[qtyEd2025]])</f>
        <v>0</v>
      </c>
      <c r="Q907" s="52">
        <f>Lab[[#This Row],[qtySaldoAkhir2025]]*Lab[[#This Row],[hargaSatuan]]</f>
        <v>0</v>
      </c>
      <c r="R907" s="74"/>
      <c r="S907" s="32">
        <f t="shared" si="28"/>
        <v>0</v>
      </c>
      <c r="T907" s="32">
        <f t="shared" si="29"/>
        <v>0</v>
      </c>
      <c r="U907" s="74"/>
      <c r="V907" s="74"/>
      <c r="X907" s="74"/>
      <c r="Y907" s="74"/>
      <c r="Z907" s="74"/>
      <c r="AA907" s="74"/>
      <c r="AB907" s="74"/>
      <c r="AC907" s="74"/>
      <c r="AD907" s="74"/>
      <c r="AE907" s="74"/>
      <c r="AF907" s="74"/>
      <c r="AG907" s="74"/>
      <c r="AH907" s="74"/>
      <c r="AI907" s="74"/>
      <c r="AJ907" s="74"/>
      <c r="AK907" s="74"/>
      <c r="AL907" s="74"/>
      <c r="AM907" s="74"/>
      <c r="AN907" s="74"/>
      <c r="AO907" s="74"/>
      <c r="AP907" s="74"/>
      <c r="AQ907" s="74"/>
      <c r="AR907" s="74"/>
      <c r="AS907" s="74"/>
      <c r="AT907" s="74"/>
      <c r="AU907" s="74"/>
      <c r="AV907" s="74"/>
      <c r="AW907" s="74"/>
      <c r="AX907" s="74"/>
      <c r="AY907" s="74"/>
      <c r="AZ907" s="74"/>
      <c r="BA907" s="74"/>
      <c r="BB907" s="74"/>
      <c r="BC907" s="74"/>
      <c r="BD907" s="74"/>
      <c r="BE907" s="74"/>
      <c r="BF907" s="74"/>
      <c r="BG907" s="74"/>
    </row>
    <row r="908" spans="1:59" ht="14.4" x14ac:dyDescent="0.3">
      <c r="A908" s="76">
        <v>91</v>
      </c>
      <c r="B908" s="45" t="s">
        <v>1091</v>
      </c>
      <c r="C908" s="46" t="s">
        <v>752</v>
      </c>
      <c r="D908" s="47" t="s">
        <v>1092</v>
      </c>
      <c r="E908" s="48" t="s">
        <v>1021</v>
      </c>
      <c r="F908" s="49">
        <v>327390</v>
      </c>
      <c r="G908" s="45" t="s">
        <v>17</v>
      </c>
      <c r="H908" s="50">
        <v>3</v>
      </c>
      <c r="I908" s="49">
        <f>Lab[[#This Row],[qtySaldoAwalSem1]]*Lab[[#This Row],[hargaSatuan]]</f>
        <v>982170</v>
      </c>
      <c r="J908" s="50">
        <v>0</v>
      </c>
      <c r="K908" s="51">
        <f>Lab[[#This Row],[qtyTerima2025]]*Lab[[#This Row],[hargaSatuan]]</f>
        <v>0</v>
      </c>
      <c r="L908" s="75">
        <v>1</v>
      </c>
      <c r="M908" s="51">
        <f>Lab[[#This Row],[qtyDist2025]]*Lab[[#This Row],[hargaSatuan]]</f>
        <v>327390</v>
      </c>
      <c r="N908" s="75">
        <v>2</v>
      </c>
      <c r="O908" s="51">
        <f>Lab[[#This Row],[qtyEd2025]]*Lab[[#This Row],[hargaSatuan]]</f>
        <v>654780</v>
      </c>
      <c r="P908" s="50">
        <f>Lab[[#This Row],[qtySaldoAwalSem1]]+Lab[[#This Row],[qtyTerima2025]]-(Lab[[#This Row],[qtyDist2025]]+Lab[[#This Row],[qtyEd2025]])</f>
        <v>0</v>
      </c>
      <c r="Q908" s="52">
        <f>Lab[[#This Row],[qtySaldoAkhir2025]]*Lab[[#This Row],[hargaSatuan]]</f>
        <v>0</v>
      </c>
      <c r="S908" s="32">
        <f t="shared" si="28"/>
        <v>0</v>
      </c>
      <c r="T908" s="32">
        <f t="shared" si="29"/>
        <v>0</v>
      </c>
    </row>
    <row r="909" spans="1:59" ht="14.4" x14ac:dyDescent="0.3">
      <c r="A909" s="44">
        <v>92</v>
      </c>
      <c r="B909" s="45" t="s">
        <v>1093</v>
      </c>
      <c r="C909" s="46" t="s">
        <v>752</v>
      </c>
      <c r="D909" s="47" t="s">
        <v>1094</v>
      </c>
      <c r="E909" s="48">
        <v>46228</v>
      </c>
      <c r="F909" s="49">
        <v>617200</v>
      </c>
      <c r="G909" s="45" t="s">
        <v>54</v>
      </c>
      <c r="H909" s="50">
        <v>4</v>
      </c>
      <c r="I909" s="49">
        <f>Lab[[#This Row],[qtySaldoAwalSem1]]*Lab[[#This Row],[hargaSatuan]]</f>
        <v>2468800</v>
      </c>
      <c r="J909" s="50">
        <v>0</v>
      </c>
      <c r="K909" s="51">
        <f>Lab[[#This Row],[qtyTerima2025]]*Lab[[#This Row],[hargaSatuan]]</f>
        <v>0</v>
      </c>
      <c r="L909" s="94">
        <v>1</v>
      </c>
      <c r="M909" s="51">
        <f>Lab[[#This Row],[qtyDist2025]]*Lab[[#This Row],[hargaSatuan]]</f>
        <v>617200</v>
      </c>
      <c r="N909" s="94">
        <v>3</v>
      </c>
      <c r="O909" s="51">
        <f>Lab[[#This Row],[qtyEd2025]]*Lab[[#This Row],[hargaSatuan]]</f>
        <v>1851600</v>
      </c>
      <c r="P909" s="50">
        <f>Lab[[#This Row],[qtySaldoAwalSem1]]+Lab[[#This Row],[qtyTerima2025]]-(Lab[[#This Row],[qtyDist2025]]+Lab[[#This Row],[qtyEd2025]])</f>
        <v>0</v>
      </c>
      <c r="Q909" s="52">
        <f>Lab[[#This Row],[qtySaldoAkhir2025]]*Lab[[#This Row],[hargaSatuan]]</f>
        <v>0</v>
      </c>
      <c r="S909" s="32">
        <f t="shared" si="28"/>
        <v>0</v>
      </c>
      <c r="T909" s="32">
        <f t="shared" si="29"/>
        <v>0</v>
      </c>
      <c r="W909" s="74"/>
    </row>
    <row r="910" spans="1:59" ht="14.4" x14ac:dyDescent="0.3">
      <c r="A910" s="76">
        <v>93</v>
      </c>
      <c r="B910" s="77" t="s">
        <v>1095</v>
      </c>
      <c r="C910" s="78" t="s">
        <v>1001</v>
      </c>
      <c r="D910" s="79" t="s">
        <v>1096</v>
      </c>
      <c r="E910" s="80">
        <v>0</v>
      </c>
      <c r="F910" s="81">
        <v>58490000</v>
      </c>
      <c r="G910" s="77" t="s">
        <v>60</v>
      </c>
      <c r="H910" s="82">
        <v>0</v>
      </c>
      <c r="I910" s="49">
        <f>Lab[[#This Row],[qtySaldoAwalSem1]]*Lab[[#This Row],[hargaSatuan]]</f>
        <v>0</v>
      </c>
      <c r="J910" s="82">
        <v>18</v>
      </c>
      <c r="K910" s="51">
        <f>Lab[[#This Row],[qtyTerima2025]]*Lab[[#This Row],[hargaSatuan]]</f>
        <v>1052820000</v>
      </c>
      <c r="L910" s="82">
        <v>18</v>
      </c>
      <c r="M910" s="51">
        <f>Lab[[#This Row],[qtyDist2025]]*Lab[[#This Row],[hargaSatuan]]</f>
        <v>1052820000</v>
      </c>
      <c r="N910" s="82">
        <v>0</v>
      </c>
      <c r="O910" s="51">
        <f>Lab[[#This Row],[qtyEd2025]]*Lab[[#This Row],[hargaSatuan]]</f>
        <v>0</v>
      </c>
      <c r="P910" s="50">
        <f>Lab[[#This Row],[qtySaldoAwalSem1]]+Lab[[#This Row],[qtyTerima2025]]-(Lab[[#This Row],[qtyDist2025]]+Lab[[#This Row],[qtyEd2025]])</f>
        <v>0</v>
      </c>
      <c r="Q910" s="52">
        <f>Lab[[#This Row],[qtySaldoAkhir2025]]*Lab[[#This Row],[hargaSatuan]]</f>
        <v>0</v>
      </c>
      <c r="R910" s="74"/>
      <c r="S910" s="32">
        <f t="shared" si="28"/>
        <v>0</v>
      </c>
      <c r="T910" s="32">
        <f t="shared" si="29"/>
        <v>0</v>
      </c>
      <c r="U910" s="74"/>
      <c r="V910" s="74"/>
      <c r="X910" s="74"/>
      <c r="Y910" s="74"/>
      <c r="Z910" s="74"/>
      <c r="AA910" s="74"/>
      <c r="AB910" s="74"/>
      <c r="AC910" s="74"/>
      <c r="AD910" s="74"/>
      <c r="AE910" s="74"/>
      <c r="AF910" s="74"/>
      <c r="AG910" s="74"/>
      <c r="AH910" s="74"/>
      <c r="AI910" s="74"/>
      <c r="AJ910" s="74"/>
      <c r="AK910" s="74"/>
      <c r="AL910" s="74"/>
      <c r="AM910" s="74"/>
      <c r="AN910" s="74"/>
      <c r="AO910" s="74"/>
      <c r="AP910" s="74"/>
      <c r="AQ910" s="74"/>
      <c r="AR910" s="74"/>
      <c r="AS910" s="74"/>
      <c r="AT910" s="74"/>
      <c r="AU910" s="74"/>
      <c r="AV910" s="74"/>
      <c r="AW910" s="74"/>
      <c r="AX910" s="74"/>
      <c r="AY910" s="74"/>
      <c r="AZ910" s="74"/>
      <c r="BA910" s="74"/>
      <c r="BB910" s="74"/>
      <c r="BC910" s="74"/>
      <c r="BD910" s="74"/>
      <c r="BE910" s="74"/>
      <c r="BF910" s="74"/>
      <c r="BG910" s="74"/>
    </row>
    <row r="911" spans="1:59" ht="14.4" x14ac:dyDescent="0.3">
      <c r="A911" s="44">
        <v>94</v>
      </c>
      <c r="B911" s="45" t="s">
        <v>1097</v>
      </c>
      <c r="C911" s="46" t="s">
        <v>968</v>
      </c>
      <c r="D911" s="69" t="s">
        <v>1098</v>
      </c>
      <c r="E911" s="48">
        <v>46351</v>
      </c>
      <c r="F911" s="49">
        <v>899646.15384615387</v>
      </c>
      <c r="G911" s="45" t="s">
        <v>54</v>
      </c>
      <c r="H911" s="50">
        <v>10</v>
      </c>
      <c r="I911" s="49">
        <f>Lab[[#This Row],[qtySaldoAwalSem1]]*Lab[[#This Row],[hargaSatuan]]</f>
        <v>8996461.538461538</v>
      </c>
      <c r="J911" s="50">
        <v>0</v>
      </c>
      <c r="K911" s="51">
        <f>Lab[[#This Row],[qtyTerima2025]]*Lab[[#This Row],[hargaSatuan]]</f>
        <v>0</v>
      </c>
      <c r="L911" s="50">
        <v>1</v>
      </c>
      <c r="M911" s="51">
        <f>Lab[[#This Row],[qtyDist2025]]*Lab[[#This Row],[hargaSatuan]]</f>
        <v>899646.15384615387</v>
      </c>
      <c r="N911" s="50">
        <v>9</v>
      </c>
      <c r="O911" s="51">
        <f>Lab[[#This Row],[qtyEd2025]]*Lab[[#This Row],[hargaSatuan]]</f>
        <v>8096815.384615385</v>
      </c>
      <c r="P911" s="50">
        <f>Lab[[#This Row],[qtySaldoAwalSem1]]+Lab[[#This Row],[qtyTerima2025]]-(Lab[[#This Row],[qtyDist2025]]+Lab[[#This Row],[qtyEd2025]])</f>
        <v>0</v>
      </c>
      <c r="Q911" s="52">
        <f>Lab[[#This Row],[qtySaldoAkhir2025]]*Lab[[#This Row],[hargaSatuan]]</f>
        <v>0</v>
      </c>
      <c r="S911" s="32">
        <f t="shared" si="28"/>
        <v>0</v>
      </c>
      <c r="T911" s="32">
        <f t="shared" si="29"/>
        <v>0</v>
      </c>
    </row>
    <row r="912" spans="1:59" ht="14.4" x14ac:dyDescent="0.3">
      <c r="A912" s="76">
        <v>95</v>
      </c>
      <c r="B912" s="45" t="s">
        <v>1099</v>
      </c>
      <c r="C912" s="46" t="s">
        <v>38</v>
      </c>
      <c r="D912" s="47" t="s">
        <v>1100</v>
      </c>
      <c r="E912" s="48">
        <v>46229</v>
      </c>
      <c r="F912" s="49">
        <v>121000</v>
      </c>
      <c r="G912" s="45" t="s">
        <v>17</v>
      </c>
      <c r="H912" s="50">
        <v>6</v>
      </c>
      <c r="I912" s="49">
        <f>Lab[[#This Row],[qtySaldoAwalSem1]]*Lab[[#This Row],[hargaSatuan]]</f>
        <v>726000</v>
      </c>
      <c r="J912" s="50">
        <v>0</v>
      </c>
      <c r="K912" s="51">
        <f>Lab[[#This Row],[qtyTerima2025]]*Lab[[#This Row],[hargaSatuan]]</f>
        <v>0</v>
      </c>
      <c r="L912" s="50">
        <v>6</v>
      </c>
      <c r="M912" s="51">
        <f>Lab[[#This Row],[qtyDist2025]]*Lab[[#This Row],[hargaSatuan]]</f>
        <v>726000</v>
      </c>
      <c r="N912" s="50">
        <v>0</v>
      </c>
      <c r="O912" s="51">
        <f>Lab[[#This Row],[qtyEd2025]]*Lab[[#This Row],[hargaSatuan]]</f>
        <v>0</v>
      </c>
      <c r="P912" s="50">
        <f>Lab[[#This Row],[qtySaldoAwalSem1]]+Lab[[#This Row],[qtyTerima2025]]-(Lab[[#This Row],[qtyDist2025]]+Lab[[#This Row],[qtyEd2025]])</f>
        <v>0</v>
      </c>
      <c r="Q912" s="52">
        <f>Lab[[#This Row],[qtySaldoAkhir2025]]*Lab[[#This Row],[hargaSatuan]]</f>
        <v>0</v>
      </c>
      <c r="S912" s="32">
        <f t="shared" si="28"/>
        <v>0</v>
      </c>
      <c r="T912" s="32">
        <f t="shared" si="29"/>
        <v>0</v>
      </c>
    </row>
    <row r="913" spans="1:59" ht="14.4" x14ac:dyDescent="0.3">
      <c r="A913" s="44">
        <v>96</v>
      </c>
      <c r="B913" s="77" t="s">
        <v>1101</v>
      </c>
      <c r="C913" s="78" t="s">
        <v>38</v>
      </c>
      <c r="D913" s="79" t="s">
        <v>1102</v>
      </c>
      <c r="E913" s="80">
        <v>46229</v>
      </c>
      <c r="F913" s="81">
        <v>121000</v>
      </c>
      <c r="G913" s="77" t="s">
        <v>17</v>
      </c>
      <c r="H913" s="82">
        <v>6</v>
      </c>
      <c r="I913" s="49">
        <f>Lab[[#This Row],[qtySaldoAwalSem1]]*Lab[[#This Row],[hargaSatuan]]</f>
        <v>726000</v>
      </c>
      <c r="J913" s="82">
        <v>0</v>
      </c>
      <c r="K913" s="51">
        <f>Lab[[#This Row],[qtyTerima2025]]*Lab[[#This Row],[hargaSatuan]]</f>
        <v>0</v>
      </c>
      <c r="L913" s="82">
        <v>6</v>
      </c>
      <c r="M913" s="51">
        <f>Lab[[#This Row],[qtyDist2025]]*Lab[[#This Row],[hargaSatuan]]</f>
        <v>726000</v>
      </c>
      <c r="N913" s="82">
        <v>0</v>
      </c>
      <c r="O913" s="51">
        <f>Lab[[#This Row],[qtyEd2025]]*Lab[[#This Row],[hargaSatuan]]</f>
        <v>0</v>
      </c>
      <c r="P913" s="50">
        <f>Lab[[#This Row],[qtySaldoAwalSem1]]+Lab[[#This Row],[qtyTerima2025]]-(Lab[[#This Row],[qtyDist2025]]+Lab[[#This Row],[qtyEd2025]])</f>
        <v>0</v>
      </c>
      <c r="Q913" s="52">
        <f>Lab[[#This Row],[qtySaldoAkhir2025]]*Lab[[#This Row],[hargaSatuan]]</f>
        <v>0</v>
      </c>
      <c r="R913" s="74"/>
      <c r="S913" s="32">
        <f t="shared" si="28"/>
        <v>0</v>
      </c>
      <c r="T913" s="32">
        <f t="shared" si="29"/>
        <v>0</v>
      </c>
      <c r="U913" s="74"/>
      <c r="V913" s="74"/>
      <c r="X913" s="74"/>
      <c r="Y913" s="74"/>
      <c r="Z913" s="74"/>
      <c r="AA913" s="74"/>
      <c r="AB913" s="74"/>
      <c r="AC913" s="74"/>
      <c r="AD913" s="74"/>
      <c r="AE913" s="74"/>
      <c r="AF913" s="74"/>
      <c r="AG913" s="74"/>
      <c r="AH913" s="74"/>
      <c r="AI913" s="74"/>
      <c r="AJ913" s="74"/>
      <c r="AK913" s="74"/>
      <c r="AL913" s="74"/>
      <c r="AM913" s="74"/>
      <c r="AN913" s="74"/>
      <c r="AO913" s="74"/>
      <c r="AP913" s="74"/>
      <c r="AQ913" s="74"/>
      <c r="AR913" s="74"/>
      <c r="AS913" s="74"/>
      <c r="AT913" s="74"/>
      <c r="AU913" s="74"/>
      <c r="AV913" s="74"/>
      <c r="AW913" s="74"/>
      <c r="AX913" s="74"/>
      <c r="AY913" s="74"/>
      <c r="AZ913" s="74"/>
      <c r="BA913" s="74"/>
      <c r="BB913" s="74"/>
      <c r="BC913" s="74"/>
      <c r="BD913" s="74"/>
      <c r="BE913" s="74"/>
      <c r="BF913" s="74"/>
      <c r="BG913" s="74"/>
    </row>
    <row r="914" spans="1:59" ht="14.4" x14ac:dyDescent="0.3">
      <c r="A914" s="76">
        <v>97</v>
      </c>
      <c r="B914" s="45" t="s">
        <v>1103</v>
      </c>
      <c r="C914" s="46" t="s">
        <v>38</v>
      </c>
      <c r="D914" s="47" t="s">
        <v>1104</v>
      </c>
      <c r="E914" s="48">
        <v>46049</v>
      </c>
      <c r="F914" s="49">
        <v>123529.41176470589</v>
      </c>
      <c r="G914" s="45" t="s">
        <v>41</v>
      </c>
      <c r="H914" s="50">
        <v>0</v>
      </c>
      <c r="I914" s="49">
        <f>Lab[[#This Row],[qtySaldoAwalSem1]]*Lab[[#This Row],[hargaSatuan]]</f>
        <v>0</v>
      </c>
      <c r="J914" s="50">
        <v>34</v>
      </c>
      <c r="K914" s="51">
        <f>Lab[[#This Row],[qtyTerima2025]]*Lab[[#This Row],[hargaSatuan]]</f>
        <v>4200000</v>
      </c>
      <c r="L914" s="50">
        <v>22</v>
      </c>
      <c r="M914" s="51">
        <f>Lab[[#This Row],[qtyDist2025]]*Lab[[#This Row],[hargaSatuan]]</f>
        <v>2717647.0588235296</v>
      </c>
      <c r="N914" s="50">
        <v>0</v>
      </c>
      <c r="O914" s="51">
        <f>Lab[[#This Row],[qtyEd2025]]*Lab[[#This Row],[hargaSatuan]]</f>
        <v>0</v>
      </c>
      <c r="P914" s="50">
        <f>Lab[[#This Row],[qtySaldoAwalSem1]]+Lab[[#This Row],[qtyTerima2025]]-(Lab[[#This Row],[qtyDist2025]]+Lab[[#This Row],[qtyEd2025]])</f>
        <v>12</v>
      </c>
      <c r="Q914" s="52">
        <f>Lab[[#This Row],[qtySaldoAkhir2025]]*Lab[[#This Row],[hargaSatuan]]</f>
        <v>1482352.9411764706</v>
      </c>
      <c r="S914" s="32">
        <f t="shared" si="28"/>
        <v>1482352.9411764704</v>
      </c>
      <c r="T914" s="32">
        <f t="shared" si="29"/>
        <v>2.3283064365386963E-10</v>
      </c>
    </row>
    <row r="915" spans="1:59" ht="14.4" x14ac:dyDescent="0.3">
      <c r="A915" s="44">
        <v>98</v>
      </c>
      <c r="B915" s="45" t="s">
        <v>1105</v>
      </c>
      <c r="C915" s="46" t="s">
        <v>38</v>
      </c>
      <c r="D915" s="47" t="s">
        <v>1106</v>
      </c>
      <c r="E915" s="48" t="s">
        <v>1040</v>
      </c>
      <c r="F915" s="49">
        <v>196400</v>
      </c>
      <c r="G915" s="45" t="s">
        <v>17</v>
      </c>
      <c r="H915" s="50">
        <v>13</v>
      </c>
      <c r="I915" s="49">
        <f>Lab[[#This Row],[qtySaldoAwalSem1]]*Lab[[#This Row],[hargaSatuan]]</f>
        <v>2553200</v>
      </c>
      <c r="J915" s="50">
        <v>0</v>
      </c>
      <c r="K915" s="51">
        <f>Lab[[#This Row],[qtyTerima2025]]*Lab[[#This Row],[hargaSatuan]]</f>
        <v>0</v>
      </c>
      <c r="L915" s="50">
        <v>0</v>
      </c>
      <c r="M915" s="51">
        <f>Lab[[#This Row],[qtyDist2025]]*Lab[[#This Row],[hargaSatuan]]</f>
        <v>0</v>
      </c>
      <c r="N915" s="75">
        <v>13</v>
      </c>
      <c r="O915" s="51">
        <f>Lab[[#This Row],[qtyEd2025]]*Lab[[#This Row],[hargaSatuan]]</f>
        <v>2553200</v>
      </c>
      <c r="P915" s="50">
        <f>Lab[[#This Row],[qtySaldoAwalSem1]]+Lab[[#This Row],[qtyTerima2025]]-(Lab[[#This Row],[qtyDist2025]]+Lab[[#This Row],[qtyEd2025]])</f>
        <v>0</v>
      </c>
      <c r="Q915" s="52">
        <f>Lab[[#This Row],[qtySaldoAkhir2025]]*Lab[[#This Row],[hargaSatuan]]</f>
        <v>0</v>
      </c>
      <c r="S915" s="32">
        <f t="shared" si="28"/>
        <v>0</v>
      </c>
      <c r="T915" s="32">
        <f t="shared" si="29"/>
        <v>0</v>
      </c>
    </row>
    <row r="916" spans="1:59" ht="14.4" x14ac:dyDescent="0.3">
      <c r="A916" s="76">
        <v>99</v>
      </c>
      <c r="B916" s="45" t="s">
        <v>1107</v>
      </c>
      <c r="C916" s="46" t="s">
        <v>38</v>
      </c>
      <c r="D916" s="47" t="s">
        <v>1108</v>
      </c>
      <c r="E916" s="105">
        <v>46198</v>
      </c>
      <c r="F916" s="49">
        <v>180400</v>
      </c>
      <c r="G916" s="45" t="s">
        <v>40</v>
      </c>
      <c r="H916" s="50">
        <v>203</v>
      </c>
      <c r="I916" s="49">
        <f>Lab[[#This Row],[qtySaldoAwalSem1]]*Lab[[#This Row],[hargaSatuan]]</f>
        <v>36621200</v>
      </c>
      <c r="J916" s="50">
        <v>0</v>
      </c>
      <c r="K916" s="51">
        <f>Lab[[#This Row],[qtyTerima2025]]*Lab[[#This Row],[hargaSatuan]]</f>
        <v>0</v>
      </c>
      <c r="L916" s="50">
        <v>22</v>
      </c>
      <c r="M916" s="51">
        <f>Lab[[#This Row],[qtyDist2025]]*Lab[[#This Row],[hargaSatuan]]</f>
        <v>3968800</v>
      </c>
      <c r="N916" s="50">
        <v>181</v>
      </c>
      <c r="O916" s="51">
        <f>Lab[[#This Row],[qtyEd2025]]*Lab[[#This Row],[hargaSatuan]]</f>
        <v>32652400</v>
      </c>
      <c r="P916" s="50">
        <f>Lab[[#This Row],[qtySaldoAwalSem1]]+Lab[[#This Row],[qtyTerima2025]]-(Lab[[#This Row],[qtyDist2025]]+Lab[[#This Row],[qtyEd2025]])</f>
        <v>0</v>
      </c>
      <c r="Q916" s="52">
        <f>Lab[[#This Row],[qtySaldoAkhir2025]]*Lab[[#This Row],[hargaSatuan]]</f>
        <v>0</v>
      </c>
      <c r="S916" s="32">
        <f t="shared" si="28"/>
        <v>0</v>
      </c>
      <c r="T916" s="32">
        <f t="shared" si="29"/>
        <v>0</v>
      </c>
    </row>
    <row r="917" spans="1:59" ht="14.4" x14ac:dyDescent="0.3">
      <c r="A917" s="44">
        <v>100</v>
      </c>
      <c r="B917" s="45" t="s">
        <v>1107</v>
      </c>
      <c r="C917" s="46" t="s">
        <v>38</v>
      </c>
      <c r="D917" s="47" t="s">
        <v>1109</v>
      </c>
      <c r="E917" s="48">
        <v>46351</v>
      </c>
      <c r="F917" s="49">
        <v>178500</v>
      </c>
      <c r="G917" s="45" t="s">
        <v>40</v>
      </c>
      <c r="H917" s="50">
        <v>0</v>
      </c>
      <c r="I917" s="49">
        <f>Lab[[#This Row],[qtySaldoAwalSem1]]*Lab[[#This Row],[hargaSatuan]]</f>
        <v>0</v>
      </c>
      <c r="J917" s="50">
        <v>20</v>
      </c>
      <c r="K917" s="51">
        <f>Lab[[#This Row],[qtyTerima2025]]*Lab[[#This Row],[hargaSatuan]]</f>
        <v>3570000</v>
      </c>
      <c r="L917" s="50">
        <v>20</v>
      </c>
      <c r="M917" s="51">
        <f>Lab[[#This Row],[qtyDist2025]]*Lab[[#This Row],[hargaSatuan]]</f>
        <v>3570000</v>
      </c>
      <c r="N917" s="50">
        <v>0</v>
      </c>
      <c r="O917" s="51">
        <f>Lab[[#This Row],[qtyEd2025]]*Lab[[#This Row],[hargaSatuan]]</f>
        <v>0</v>
      </c>
      <c r="P917" s="50">
        <f>Lab[[#This Row],[qtySaldoAwalSem1]]+Lab[[#This Row],[qtyTerima2025]]-(Lab[[#This Row],[qtyDist2025]]+Lab[[#This Row],[qtyEd2025]])</f>
        <v>0</v>
      </c>
      <c r="Q917" s="52">
        <f>Lab[[#This Row],[qtySaldoAkhir2025]]*Lab[[#This Row],[hargaSatuan]]</f>
        <v>0</v>
      </c>
      <c r="S917" s="32">
        <f t="shared" si="28"/>
        <v>0</v>
      </c>
      <c r="T917" s="32">
        <f t="shared" si="29"/>
        <v>0</v>
      </c>
    </row>
    <row r="918" spans="1:59" ht="14.4" x14ac:dyDescent="0.3">
      <c r="A918" s="76">
        <v>101</v>
      </c>
      <c r="B918" s="45" t="s">
        <v>1107</v>
      </c>
      <c r="C918" s="46" t="s">
        <v>38</v>
      </c>
      <c r="D918" s="47" t="s">
        <v>1110</v>
      </c>
      <c r="E918" s="48">
        <v>46107</v>
      </c>
      <c r="F918" s="49">
        <v>172000</v>
      </c>
      <c r="G918" s="45" t="s">
        <v>40</v>
      </c>
      <c r="H918" s="50">
        <v>0</v>
      </c>
      <c r="I918" s="49">
        <f>Lab[[#This Row],[qtySaldoAwalSem1]]*Lab[[#This Row],[hargaSatuan]]</f>
        <v>0</v>
      </c>
      <c r="J918" s="50">
        <v>20</v>
      </c>
      <c r="K918" s="51">
        <f>Lab[[#This Row],[qtyTerima2025]]*Lab[[#This Row],[hargaSatuan]]</f>
        <v>3440000</v>
      </c>
      <c r="L918" s="50">
        <v>9</v>
      </c>
      <c r="M918" s="51">
        <f>Lab[[#This Row],[qtyDist2025]]*Lab[[#This Row],[hargaSatuan]]</f>
        <v>1548000</v>
      </c>
      <c r="N918" s="50">
        <v>0</v>
      </c>
      <c r="O918" s="51">
        <f>Lab[[#This Row],[qtyEd2025]]*Lab[[#This Row],[hargaSatuan]]</f>
        <v>0</v>
      </c>
      <c r="P918" s="50">
        <f>Lab[[#This Row],[qtySaldoAwalSem1]]+Lab[[#This Row],[qtyTerima2025]]-(Lab[[#This Row],[qtyDist2025]]+Lab[[#This Row],[qtyEd2025]])</f>
        <v>11</v>
      </c>
      <c r="Q918" s="52">
        <f>Lab[[#This Row],[qtySaldoAkhir2025]]*Lab[[#This Row],[hargaSatuan]]</f>
        <v>1892000</v>
      </c>
      <c r="S918" s="32">
        <f t="shared" si="28"/>
        <v>1892000</v>
      </c>
      <c r="T918" s="32">
        <f t="shared" si="29"/>
        <v>0</v>
      </c>
    </row>
    <row r="919" spans="1:59" ht="14.4" x14ac:dyDescent="0.3">
      <c r="A919" s="44">
        <v>102</v>
      </c>
      <c r="B919" s="45" t="s">
        <v>1111</v>
      </c>
      <c r="C919" s="46" t="s">
        <v>38</v>
      </c>
      <c r="D919" s="47" t="s">
        <v>1112</v>
      </c>
      <c r="E919" s="48">
        <v>46352</v>
      </c>
      <c r="F919" s="49">
        <v>1232840</v>
      </c>
      <c r="G919" s="45" t="s">
        <v>41</v>
      </c>
      <c r="H919" s="50">
        <v>0</v>
      </c>
      <c r="I919" s="49">
        <f>Lab[[#This Row],[qtySaldoAwalSem1]]*Lab[[#This Row],[hargaSatuan]]</f>
        <v>0</v>
      </c>
      <c r="J919" s="50">
        <v>3</v>
      </c>
      <c r="K919" s="51">
        <f>Lab[[#This Row],[qtyTerima2025]]*Lab[[#This Row],[hargaSatuan]]</f>
        <v>3698520</v>
      </c>
      <c r="L919" s="50">
        <v>0</v>
      </c>
      <c r="M919" s="51">
        <f>Lab[[#This Row],[qtyDist2025]]*Lab[[#This Row],[hargaSatuan]]</f>
        <v>0</v>
      </c>
      <c r="N919" s="50">
        <v>0</v>
      </c>
      <c r="O919" s="51">
        <f>Lab[[#This Row],[qtyEd2025]]*Lab[[#This Row],[hargaSatuan]]</f>
        <v>0</v>
      </c>
      <c r="P919" s="50">
        <f>Lab[[#This Row],[qtySaldoAwalSem1]]+Lab[[#This Row],[qtyTerima2025]]-(Lab[[#This Row],[qtyDist2025]]+Lab[[#This Row],[qtyEd2025]])</f>
        <v>3</v>
      </c>
      <c r="Q919" s="52">
        <f>Lab[[#This Row],[qtySaldoAkhir2025]]*Lab[[#This Row],[hargaSatuan]]</f>
        <v>3698520</v>
      </c>
      <c r="S919" s="32">
        <f t="shared" si="28"/>
        <v>3698520</v>
      </c>
      <c r="T919" s="32">
        <f t="shared" si="29"/>
        <v>0</v>
      </c>
    </row>
    <row r="920" spans="1:59" ht="28.8" x14ac:dyDescent="0.3">
      <c r="A920" s="76">
        <v>103</v>
      </c>
      <c r="B920" s="45" t="s">
        <v>1113</v>
      </c>
      <c r="C920" s="46" t="s">
        <v>962</v>
      </c>
      <c r="D920" s="47">
        <v>1072488</v>
      </c>
      <c r="E920" s="48">
        <v>46200</v>
      </c>
      <c r="F920" s="49">
        <v>1378.62</v>
      </c>
      <c r="G920" s="45" t="s">
        <v>49</v>
      </c>
      <c r="H920" s="50">
        <v>0</v>
      </c>
      <c r="I920" s="49">
        <f>Lab[[#This Row],[qtySaldoAwalSem1]]*Lab[[#This Row],[hargaSatuan]]</f>
        <v>0</v>
      </c>
      <c r="J920" s="50">
        <v>10000</v>
      </c>
      <c r="K920" s="51">
        <f>Lab[[#This Row],[qtyTerima2025]]*Lab[[#This Row],[hargaSatuan]]</f>
        <v>13786199.999999998</v>
      </c>
      <c r="L920" s="50">
        <v>600</v>
      </c>
      <c r="M920" s="51">
        <f>Lab[[#This Row],[qtyDist2025]]*Lab[[#This Row],[hargaSatuan]]</f>
        <v>827171.99999999988</v>
      </c>
      <c r="N920" s="50">
        <v>0</v>
      </c>
      <c r="O920" s="51">
        <f>Lab[[#This Row],[qtyEd2025]]*Lab[[#This Row],[hargaSatuan]]</f>
        <v>0</v>
      </c>
      <c r="P920" s="50">
        <f>Lab[[#This Row],[qtySaldoAwalSem1]]+Lab[[#This Row],[qtyTerima2025]]-(Lab[[#This Row],[qtyDist2025]]+Lab[[#This Row],[qtyEd2025]])</f>
        <v>9400</v>
      </c>
      <c r="Q920" s="52">
        <f>Lab[[#This Row],[qtySaldoAkhir2025]]*Lab[[#This Row],[hargaSatuan]]</f>
        <v>12959027.999999998</v>
      </c>
      <c r="S920" s="32">
        <f t="shared" si="28"/>
        <v>12959027.999999998</v>
      </c>
      <c r="T920" s="32">
        <f t="shared" si="29"/>
        <v>0</v>
      </c>
    </row>
    <row r="921" spans="1:59" ht="14.4" x14ac:dyDescent="0.3">
      <c r="A921" s="44">
        <v>104</v>
      </c>
      <c r="B921" s="45" t="s">
        <v>1114</v>
      </c>
      <c r="C921" s="46" t="s">
        <v>962</v>
      </c>
      <c r="D921" s="47" t="s">
        <v>1115</v>
      </c>
      <c r="E921" s="48">
        <v>46107</v>
      </c>
      <c r="F921" s="49">
        <v>1995.8461538461538</v>
      </c>
      <c r="G921" s="45" t="s">
        <v>54</v>
      </c>
      <c r="H921" s="50">
        <v>300</v>
      </c>
      <c r="I921" s="49">
        <f>Lab[[#This Row],[qtySaldoAwalSem1]]*Lab[[#This Row],[hargaSatuan]]</f>
        <v>598753.84615384613</v>
      </c>
      <c r="J921" s="50">
        <v>0</v>
      </c>
      <c r="K921" s="51">
        <f>Lab[[#This Row],[qtyTerima2025]]*Lab[[#This Row],[hargaSatuan]]</f>
        <v>0</v>
      </c>
      <c r="L921" s="50">
        <v>300</v>
      </c>
      <c r="M921" s="51">
        <f>Lab[[#This Row],[qtyDist2025]]*Lab[[#This Row],[hargaSatuan]]</f>
        <v>598753.84615384613</v>
      </c>
      <c r="N921" s="50">
        <v>0</v>
      </c>
      <c r="O921" s="51">
        <f>Lab[[#This Row],[qtyEd2025]]*Lab[[#This Row],[hargaSatuan]]</f>
        <v>0</v>
      </c>
      <c r="P921" s="50">
        <f>Lab[[#This Row],[qtySaldoAwalSem1]]+Lab[[#This Row],[qtyTerima2025]]-(Lab[[#This Row],[qtyDist2025]]+Lab[[#This Row],[qtyEd2025]])</f>
        <v>0</v>
      </c>
      <c r="Q921" s="52">
        <f>Lab[[#This Row],[qtySaldoAkhir2025]]*Lab[[#This Row],[hargaSatuan]]</f>
        <v>0</v>
      </c>
      <c r="S921" s="32">
        <f t="shared" si="28"/>
        <v>0</v>
      </c>
      <c r="T921" s="32">
        <f t="shared" si="29"/>
        <v>0</v>
      </c>
      <c r="W921" s="74"/>
    </row>
    <row r="922" spans="1:59" ht="14.4" x14ac:dyDescent="0.3">
      <c r="A922" s="76">
        <v>105</v>
      </c>
      <c r="B922" s="45" t="s">
        <v>1114</v>
      </c>
      <c r="C922" s="46" t="s">
        <v>962</v>
      </c>
      <c r="D922" s="47">
        <v>181123</v>
      </c>
      <c r="E922" s="48">
        <v>46079</v>
      </c>
      <c r="F922" s="49">
        <v>1742</v>
      </c>
      <c r="G922" s="45" t="s">
        <v>54</v>
      </c>
      <c r="H922" s="50">
        <v>4200</v>
      </c>
      <c r="I922" s="49">
        <f>Lab[[#This Row],[qtySaldoAwalSem1]]*Lab[[#This Row],[hargaSatuan]]</f>
        <v>7316400</v>
      </c>
      <c r="J922" s="50">
        <v>0</v>
      </c>
      <c r="K922" s="51">
        <f>Lab[[#This Row],[qtyTerima2025]]*Lab[[#This Row],[hargaSatuan]]</f>
        <v>0</v>
      </c>
      <c r="L922" s="50">
        <v>4200</v>
      </c>
      <c r="M922" s="51">
        <f>Lab[[#This Row],[qtyDist2025]]*Lab[[#This Row],[hargaSatuan]]</f>
        <v>7316400</v>
      </c>
      <c r="N922" s="50">
        <v>0</v>
      </c>
      <c r="O922" s="51">
        <f>Lab[[#This Row],[qtyEd2025]]*Lab[[#This Row],[hargaSatuan]]</f>
        <v>0</v>
      </c>
      <c r="P922" s="50">
        <f>Lab[[#This Row],[qtySaldoAwalSem1]]+Lab[[#This Row],[qtyTerima2025]]-(Lab[[#This Row],[qtyDist2025]]+Lab[[#This Row],[qtyEd2025]])</f>
        <v>0</v>
      </c>
      <c r="Q922" s="52">
        <f>Lab[[#This Row],[qtySaldoAkhir2025]]*Lab[[#This Row],[hargaSatuan]]</f>
        <v>0</v>
      </c>
      <c r="S922" s="32">
        <f t="shared" si="28"/>
        <v>0</v>
      </c>
      <c r="T922" s="32">
        <f t="shared" si="29"/>
        <v>0</v>
      </c>
    </row>
    <row r="923" spans="1:59" ht="14.4" x14ac:dyDescent="0.3">
      <c r="A923" s="44">
        <v>106</v>
      </c>
      <c r="B923" s="45" t="s">
        <v>1114</v>
      </c>
      <c r="C923" s="46" t="s">
        <v>962</v>
      </c>
      <c r="D923" s="47">
        <v>2052588</v>
      </c>
      <c r="E923" s="48">
        <v>46139</v>
      </c>
      <c r="F923" s="49">
        <v>1056.94</v>
      </c>
      <c r="G923" s="45" t="s">
        <v>41</v>
      </c>
      <c r="H923" s="50">
        <v>0</v>
      </c>
      <c r="I923" s="49">
        <f>Lab[[#This Row],[qtySaldoAwalSem1]]*Lab[[#This Row],[hargaSatuan]]</f>
        <v>0</v>
      </c>
      <c r="J923" s="50">
        <v>5000</v>
      </c>
      <c r="K923" s="51">
        <f>Lab[[#This Row],[qtyTerima2025]]*Lab[[#This Row],[hargaSatuan]]</f>
        <v>5284700</v>
      </c>
      <c r="L923" s="50">
        <v>2000</v>
      </c>
      <c r="M923" s="51">
        <f>Lab[[#This Row],[qtyDist2025]]*Lab[[#This Row],[hargaSatuan]]</f>
        <v>2113880</v>
      </c>
      <c r="N923" s="50">
        <v>0</v>
      </c>
      <c r="O923" s="51">
        <f>Lab[[#This Row],[qtyEd2025]]*Lab[[#This Row],[hargaSatuan]]</f>
        <v>0</v>
      </c>
      <c r="P923" s="50">
        <f>Lab[[#This Row],[qtySaldoAwalSem1]]+Lab[[#This Row],[qtyTerima2025]]-(Lab[[#This Row],[qtyDist2025]]+Lab[[#This Row],[qtyEd2025]])</f>
        <v>3000</v>
      </c>
      <c r="Q923" s="52">
        <f>Lab[[#This Row],[qtySaldoAkhir2025]]*Lab[[#This Row],[hargaSatuan]]</f>
        <v>3170820</v>
      </c>
      <c r="S923" s="32">
        <f t="shared" si="28"/>
        <v>3170820</v>
      </c>
      <c r="T923" s="32">
        <f t="shared" si="29"/>
        <v>0</v>
      </c>
    </row>
    <row r="924" spans="1:59" ht="14.4" x14ac:dyDescent="0.3">
      <c r="A924" s="76">
        <v>107</v>
      </c>
      <c r="B924" s="45" t="s">
        <v>1116</v>
      </c>
      <c r="C924" s="46" t="s">
        <v>529</v>
      </c>
      <c r="D924" s="47" t="s">
        <v>1117</v>
      </c>
      <c r="E924" s="48">
        <v>46048</v>
      </c>
      <c r="F924" s="49">
        <v>1854.5908714285715</v>
      </c>
      <c r="G924" s="45" t="s">
        <v>43</v>
      </c>
      <c r="H924" s="50">
        <v>1000</v>
      </c>
      <c r="I924" s="49">
        <f>Lab[[#This Row],[qtySaldoAwalSem1]]*Lab[[#This Row],[hargaSatuan]]</f>
        <v>1854590.8714285714</v>
      </c>
      <c r="J924" s="50">
        <v>0</v>
      </c>
      <c r="K924" s="51">
        <f>Lab[[#This Row],[qtyTerima2025]]*Lab[[#This Row],[hargaSatuan]]</f>
        <v>0</v>
      </c>
      <c r="L924" s="50">
        <v>550</v>
      </c>
      <c r="M924" s="51">
        <f>Lab[[#This Row],[qtyDist2025]]*Lab[[#This Row],[hargaSatuan]]</f>
        <v>1020024.9792857143</v>
      </c>
      <c r="N924" s="50">
        <v>0</v>
      </c>
      <c r="O924" s="51">
        <f>Lab[[#This Row],[qtyEd2025]]*Lab[[#This Row],[hargaSatuan]]</f>
        <v>0</v>
      </c>
      <c r="P924" s="50">
        <f>Lab[[#This Row],[qtySaldoAwalSem1]]+Lab[[#This Row],[qtyTerima2025]]-(Lab[[#This Row],[qtyDist2025]]+Lab[[#This Row],[qtyEd2025]])</f>
        <v>450</v>
      </c>
      <c r="Q924" s="52">
        <f>Lab[[#This Row],[qtySaldoAkhir2025]]*Lab[[#This Row],[hargaSatuan]]</f>
        <v>834565.89214285719</v>
      </c>
      <c r="S924" s="32">
        <f t="shared" si="28"/>
        <v>834565.89214285708</v>
      </c>
      <c r="T924" s="32">
        <f t="shared" si="29"/>
        <v>1.1641532182693481E-10</v>
      </c>
    </row>
    <row r="925" spans="1:59" ht="14.4" x14ac:dyDescent="0.3">
      <c r="A925" s="44">
        <v>108</v>
      </c>
      <c r="B925" s="77" t="s">
        <v>1118</v>
      </c>
      <c r="C925" s="78" t="s">
        <v>962</v>
      </c>
      <c r="D925" s="79" t="s">
        <v>1119</v>
      </c>
      <c r="E925" s="80" t="s">
        <v>985</v>
      </c>
      <c r="F925" s="81">
        <v>7200</v>
      </c>
      <c r="G925" s="77" t="s">
        <v>54</v>
      </c>
      <c r="H925" s="82">
        <v>1250</v>
      </c>
      <c r="I925" s="49">
        <f>Lab[[#This Row],[qtySaldoAwalSem1]]*Lab[[#This Row],[hargaSatuan]]</f>
        <v>9000000</v>
      </c>
      <c r="J925" s="82">
        <v>0</v>
      </c>
      <c r="K925" s="51">
        <f>Lab[[#This Row],[qtyTerima2025]]*Lab[[#This Row],[hargaSatuan]]</f>
        <v>0</v>
      </c>
      <c r="L925" s="82">
        <v>1250</v>
      </c>
      <c r="M925" s="51">
        <f>Lab[[#This Row],[qtyDist2025]]*Lab[[#This Row],[hargaSatuan]]</f>
        <v>9000000</v>
      </c>
      <c r="N925" s="82">
        <v>0</v>
      </c>
      <c r="O925" s="51">
        <f>Lab[[#This Row],[qtyEd2025]]*Lab[[#This Row],[hargaSatuan]]</f>
        <v>0</v>
      </c>
      <c r="P925" s="50">
        <f>Lab[[#This Row],[qtySaldoAwalSem1]]+Lab[[#This Row],[qtyTerima2025]]-(Lab[[#This Row],[qtyDist2025]]+Lab[[#This Row],[qtyEd2025]])</f>
        <v>0</v>
      </c>
      <c r="Q925" s="52">
        <f>Lab[[#This Row],[qtySaldoAkhir2025]]*Lab[[#This Row],[hargaSatuan]]</f>
        <v>0</v>
      </c>
      <c r="R925" s="74"/>
      <c r="S925" s="32">
        <f t="shared" si="28"/>
        <v>0</v>
      </c>
      <c r="T925" s="32">
        <f t="shared" si="29"/>
        <v>0</v>
      </c>
      <c r="U925" s="74"/>
      <c r="V925" s="74"/>
      <c r="X925" s="74"/>
      <c r="Y925" s="74"/>
      <c r="Z925" s="74"/>
      <c r="AA925" s="74"/>
      <c r="AB925" s="74"/>
      <c r="AC925" s="74"/>
      <c r="AD925" s="74"/>
      <c r="AE925" s="74"/>
      <c r="AF925" s="74"/>
      <c r="AG925" s="74"/>
      <c r="AH925" s="74"/>
      <c r="AI925" s="74"/>
      <c r="AJ925" s="74"/>
      <c r="AK925" s="74"/>
      <c r="AL925" s="74"/>
      <c r="AM925" s="74"/>
      <c r="AN925" s="74"/>
      <c r="AO925" s="74"/>
      <c r="AP925" s="74"/>
      <c r="AQ925" s="74"/>
      <c r="AR925" s="74"/>
      <c r="AS925" s="74"/>
      <c r="AT925" s="74"/>
      <c r="AU925" s="74"/>
      <c r="AV925" s="74"/>
      <c r="AW925" s="74"/>
      <c r="AX925" s="74"/>
      <c r="AY925" s="74"/>
      <c r="AZ925" s="74"/>
      <c r="BA925" s="74"/>
      <c r="BB925" s="74"/>
      <c r="BC925" s="74"/>
      <c r="BD925" s="74"/>
      <c r="BE925" s="74"/>
      <c r="BF925" s="74"/>
      <c r="BG925" s="74"/>
    </row>
    <row r="926" spans="1:59" ht="14.4" x14ac:dyDescent="0.3">
      <c r="A926" s="76">
        <v>109</v>
      </c>
      <c r="B926" s="45" t="s">
        <v>1120</v>
      </c>
      <c r="C926" s="46" t="s">
        <v>962</v>
      </c>
      <c r="D926" s="47" t="s">
        <v>1121</v>
      </c>
      <c r="E926" s="48">
        <v>46138</v>
      </c>
      <c r="F926" s="49">
        <v>1900</v>
      </c>
      <c r="G926" s="45" t="s">
        <v>54</v>
      </c>
      <c r="H926" s="50">
        <v>80</v>
      </c>
      <c r="I926" s="49">
        <f>Lab[[#This Row],[qtySaldoAwalSem1]]*Lab[[#This Row],[hargaSatuan]]</f>
        <v>152000</v>
      </c>
      <c r="J926" s="50">
        <v>0</v>
      </c>
      <c r="K926" s="51">
        <f>Lab[[#This Row],[qtyTerima2025]]*Lab[[#This Row],[hargaSatuan]]</f>
        <v>0</v>
      </c>
      <c r="L926" s="50">
        <v>80</v>
      </c>
      <c r="M926" s="51">
        <f>Lab[[#This Row],[qtyDist2025]]*Lab[[#This Row],[hargaSatuan]]</f>
        <v>152000</v>
      </c>
      <c r="N926" s="50">
        <v>0</v>
      </c>
      <c r="O926" s="51">
        <f>Lab[[#This Row],[qtyEd2025]]*Lab[[#This Row],[hargaSatuan]]</f>
        <v>0</v>
      </c>
      <c r="P926" s="50">
        <f>Lab[[#This Row],[qtySaldoAwalSem1]]+Lab[[#This Row],[qtyTerima2025]]-(Lab[[#This Row],[qtyDist2025]]+Lab[[#This Row],[qtyEd2025]])</f>
        <v>0</v>
      </c>
      <c r="Q926" s="52">
        <f>Lab[[#This Row],[qtySaldoAkhir2025]]*Lab[[#This Row],[hargaSatuan]]</f>
        <v>0</v>
      </c>
      <c r="S926" s="32">
        <f t="shared" si="28"/>
        <v>0</v>
      </c>
      <c r="T926" s="32">
        <f t="shared" si="29"/>
        <v>0</v>
      </c>
    </row>
    <row r="927" spans="1:59" ht="14.4" x14ac:dyDescent="0.3">
      <c r="A927" s="44">
        <v>110</v>
      </c>
      <c r="B927" s="45" t="s">
        <v>1120</v>
      </c>
      <c r="C927" s="46" t="s">
        <v>962</v>
      </c>
      <c r="D927" s="47" t="s">
        <v>1122</v>
      </c>
      <c r="E927" s="48" t="s">
        <v>966</v>
      </c>
      <c r="F927" s="49">
        <v>1900</v>
      </c>
      <c r="G927" s="45" t="s">
        <v>54</v>
      </c>
      <c r="H927" s="50">
        <v>810</v>
      </c>
      <c r="I927" s="49">
        <f>Lab[[#This Row],[qtySaldoAwalSem1]]*Lab[[#This Row],[hargaSatuan]]</f>
        <v>1539000</v>
      </c>
      <c r="J927" s="50">
        <v>0</v>
      </c>
      <c r="K927" s="51">
        <f>Lab[[#This Row],[qtyTerima2025]]*Lab[[#This Row],[hargaSatuan]]</f>
        <v>0</v>
      </c>
      <c r="L927" s="50">
        <v>810</v>
      </c>
      <c r="M927" s="51">
        <f>Lab[[#This Row],[qtyDist2025]]*Lab[[#This Row],[hargaSatuan]]</f>
        <v>1539000</v>
      </c>
      <c r="N927" s="50">
        <v>0</v>
      </c>
      <c r="O927" s="51">
        <f>Lab[[#This Row],[qtyEd2025]]*Lab[[#This Row],[hargaSatuan]]</f>
        <v>0</v>
      </c>
      <c r="P927" s="50">
        <f>Lab[[#This Row],[qtySaldoAwalSem1]]+Lab[[#This Row],[qtyTerima2025]]-(Lab[[#This Row],[qtyDist2025]]+Lab[[#This Row],[qtyEd2025]])</f>
        <v>0</v>
      </c>
      <c r="Q927" s="52">
        <f>Lab[[#This Row],[qtySaldoAkhir2025]]*Lab[[#This Row],[hargaSatuan]]</f>
        <v>0</v>
      </c>
      <c r="S927" s="32">
        <f t="shared" si="28"/>
        <v>0</v>
      </c>
      <c r="T927" s="32">
        <f t="shared" si="29"/>
        <v>0</v>
      </c>
    </row>
    <row r="928" spans="1:59" ht="14.4" x14ac:dyDescent="0.3">
      <c r="A928" s="76">
        <v>111</v>
      </c>
      <c r="B928" s="45" t="s">
        <v>1120</v>
      </c>
      <c r="C928" s="46" t="s">
        <v>962</v>
      </c>
      <c r="D928" s="47" t="s">
        <v>1123</v>
      </c>
      <c r="E928" s="48">
        <v>46048</v>
      </c>
      <c r="F928" s="49">
        <v>1900</v>
      </c>
      <c r="G928" s="45" t="s">
        <v>54</v>
      </c>
      <c r="H928" s="50">
        <v>420</v>
      </c>
      <c r="I928" s="49">
        <f>Lab[[#This Row],[qtySaldoAwalSem1]]*Lab[[#This Row],[hargaSatuan]]</f>
        <v>798000</v>
      </c>
      <c r="J928" s="50">
        <v>0</v>
      </c>
      <c r="K928" s="51">
        <f>Lab[[#This Row],[qtyTerima2025]]*Lab[[#This Row],[hargaSatuan]]</f>
        <v>0</v>
      </c>
      <c r="L928" s="50">
        <v>420</v>
      </c>
      <c r="M928" s="51">
        <f>Lab[[#This Row],[qtyDist2025]]*Lab[[#This Row],[hargaSatuan]]</f>
        <v>798000</v>
      </c>
      <c r="N928" s="50">
        <v>0</v>
      </c>
      <c r="O928" s="51">
        <f>Lab[[#This Row],[qtyEd2025]]*Lab[[#This Row],[hargaSatuan]]</f>
        <v>0</v>
      </c>
      <c r="P928" s="50">
        <f>Lab[[#This Row],[qtySaldoAwalSem1]]+Lab[[#This Row],[qtyTerima2025]]-(Lab[[#This Row],[qtyDist2025]]+Lab[[#This Row],[qtyEd2025]])</f>
        <v>0</v>
      </c>
      <c r="Q928" s="52">
        <f>Lab[[#This Row],[qtySaldoAkhir2025]]*Lab[[#This Row],[hargaSatuan]]</f>
        <v>0</v>
      </c>
      <c r="S928" s="32">
        <f t="shared" si="28"/>
        <v>0</v>
      </c>
      <c r="T928" s="32">
        <f t="shared" si="29"/>
        <v>0</v>
      </c>
    </row>
    <row r="929" spans="1:59" ht="14.4" x14ac:dyDescent="0.3">
      <c r="A929" s="44">
        <v>112</v>
      </c>
      <c r="B929" s="45" t="s">
        <v>1120</v>
      </c>
      <c r="C929" s="46" t="s">
        <v>962</v>
      </c>
      <c r="D929" s="47" t="s">
        <v>1124</v>
      </c>
      <c r="E929" s="48">
        <v>46048</v>
      </c>
      <c r="F929" s="49">
        <v>1900</v>
      </c>
      <c r="G929" s="45" t="s">
        <v>54</v>
      </c>
      <c r="H929" s="50">
        <v>700</v>
      </c>
      <c r="I929" s="49">
        <f>Lab[[#This Row],[qtySaldoAwalSem1]]*Lab[[#This Row],[hargaSatuan]]</f>
        <v>1330000</v>
      </c>
      <c r="J929" s="50">
        <v>0</v>
      </c>
      <c r="K929" s="51">
        <f>Lab[[#This Row],[qtyTerima2025]]*Lab[[#This Row],[hargaSatuan]]</f>
        <v>0</v>
      </c>
      <c r="L929" s="50">
        <v>700</v>
      </c>
      <c r="M929" s="51">
        <f>Lab[[#This Row],[qtyDist2025]]*Lab[[#This Row],[hargaSatuan]]</f>
        <v>1330000</v>
      </c>
      <c r="N929" s="50">
        <v>0</v>
      </c>
      <c r="O929" s="51">
        <f>Lab[[#This Row],[qtyEd2025]]*Lab[[#This Row],[hargaSatuan]]</f>
        <v>0</v>
      </c>
      <c r="P929" s="50">
        <f>Lab[[#This Row],[qtySaldoAwalSem1]]+Lab[[#This Row],[qtyTerima2025]]-(Lab[[#This Row],[qtyDist2025]]+Lab[[#This Row],[qtyEd2025]])</f>
        <v>0</v>
      </c>
      <c r="Q929" s="52">
        <f>Lab[[#This Row],[qtySaldoAkhir2025]]*Lab[[#This Row],[hargaSatuan]]</f>
        <v>0</v>
      </c>
      <c r="S929" s="32">
        <f t="shared" si="28"/>
        <v>0</v>
      </c>
      <c r="T929" s="32">
        <f t="shared" si="29"/>
        <v>0</v>
      </c>
    </row>
    <row r="930" spans="1:59" ht="14.4" x14ac:dyDescent="0.3">
      <c r="A930" s="76">
        <v>113</v>
      </c>
      <c r="B930" s="45" t="s">
        <v>1120</v>
      </c>
      <c r="C930" s="46" t="s">
        <v>962</v>
      </c>
      <c r="D930" s="47" t="s">
        <v>1125</v>
      </c>
      <c r="E930" s="48" t="s">
        <v>966</v>
      </c>
      <c r="F930" s="49">
        <v>1900</v>
      </c>
      <c r="G930" s="45" t="s">
        <v>54</v>
      </c>
      <c r="H930" s="50">
        <v>490</v>
      </c>
      <c r="I930" s="49">
        <f>Lab[[#This Row],[qtySaldoAwalSem1]]*Lab[[#This Row],[hargaSatuan]]</f>
        <v>931000</v>
      </c>
      <c r="J930" s="50">
        <v>0</v>
      </c>
      <c r="K930" s="51">
        <f>Lab[[#This Row],[qtyTerima2025]]*Lab[[#This Row],[hargaSatuan]]</f>
        <v>0</v>
      </c>
      <c r="L930" s="50">
        <v>490</v>
      </c>
      <c r="M930" s="51">
        <f>Lab[[#This Row],[qtyDist2025]]*Lab[[#This Row],[hargaSatuan]]</f>
        <v>931000</v>
      </c>
      <c r="N930" s="50">
        <v>0</v>
      </c>
      <c r="O930" s="51">
        <f>Lab[[#This Row],[qtyEd2025]]*Lab[[#This Row],[hargaSatuan]]</f>
        <v>0</v>
      </c>
      <c r="P930" s="50">
        <f>Lab[[#This Row],[qtySaldoAwalSem1]]+Lab[[#This Row],[qtyTerima2025]]-(Lab[[#This Row],[qtyDist2025]]+Lab[[#This Row],[qtyEd2025]])</f>
        <v>0</v>
      </c>
      <c r="Q930" s="52">
        <f>Lab[[#This Row],[qtySaldoAkhir2025]]*Lab[[#This Row],[hargaSatuan]]</f>
        <v>0</v>
      </c>
      <c r="S930" s="32">
        <f t="shared" si="28"/>
        <v>0</v>
      </c>
      <c r="T930" s="32">
        <f t="shared" si="29"/>
        <v>0</v>
      </c>
    </row>
    <row r="931" spans="1:59" ht="14.4" x14ac:dyDescent="0.3">
      <c r="A931" s="44">
        <v>114</v>
      </c>
      <c r="B931" s="45" t="s">
        <v>1120</v>
      </c>
      <c r="C931" s="46" t="s">
        <v>962</v>
      </c>
      <c r="D931" s="47" t="s">
        <v>1126</v>
      </c>
      <c r="E931" s="48">
        <v>46138</v>
      </c>
      <c r="F931" s="49">
        <v>1900</v>
      </c>
      <c r="G931" s="45" t="s">
        <v>54</v>
      </c>
      <c r="H931" s="50">
        <v>90</v>
      </c>
      <c r="I931" s="49">
        <f>Lab[[#This Row],[qtySaldoAwalSem1]]*Lab[[#This Row],[hargaSatuan]]</f>
        <v>171000</v>
      </c>
      <c r="J931" s="50">
        <v>0</v>
      </c>
      <c r="K931" s="51">
        <f>Lab[[#This Row],[qtyTerima2025]]*Lab[[#This Row],[hargaSatuan]]</f>
        <v>0</v>
      </c>
      <c r="L931" s="50">
        <v>90</v>
      </c>
      <c r="M931" s="51">
        <f>Lab[[#This Row],[qtyDist2025]]*Lab[[#This Row],[hargaSatuan]]</f>
        <v>171000</v>
      </c>
      <c r="N931" s="50">
        <v>0</v>
      </c>
      <c r="O931" s="51">
        <f>Lab[[#This Row],[qtyEd2025]]*Lab[[#This Row],[hargaSatuan]]</f>
        <v>0</v>
      </c>
      <c r="P931" s="50">
        <f>Lab[[#This Row],[qtySaldoAwalSem1]]+Lab[[#This Row],[qtyTerima2025]]-(Lab[[#This Row],[qtyDist2025]]+Lab[[#This Row],[qtyEd2025]])</f>
        <v>0</v>
      </c>
      <c r="Q931" s="52">
        <f>Lab[[#This Row],[qtySaldoAkhir2025]]*Lab[[#This Row],[hargaSatuan]]</f>
        <v>0</v>
      </c>
      <c r="S931" s="32">
        <f t="shared" si="28"/>
        <v>0</v>
      </c>
      <c r="T931" s="32">
        <f t="shared" si="29"/>
        <v>0</v>
      </c>
    </row>
    <row r="932" spans="1:59" ht="14.4" x14ac:dyDescent="0.3">
      <c r="A932" s="76">
        <v>115</v>
      </c>
      <c r="B932" s="45" t="s">
        <v>1120</v>
      </c>
      <c r="C932" s="46" t="s">
        <v>962</v>
      </c>
      <c r="D932" s="47" t="s">
        <v>1126</v>
      </c>
      <c r="E932" s="48">
        <v>46138</v>
      </c>
      <c r="F932" s="49">
        <v>1900</v>
      </c>
      <c r="G932" s="45" t="s">
        <v>54</v>
      </c>
      <c r="H932" s="50">
        <v>50</v>
      </c>
      <c r="I932" s="49">
        <f>Lab[[#This Row],[qtySaldoAwalSem1]]*Lab[[#This Row],[hargaSatuan]]</f>
        <v>95000</v>
      </c>
      <c r="J932" s="50">
        <v>0</v>
      </c>
      <c r="K932" s="51">
        <f>Lab[[#This Row],[qtyTerima2025]]*Lab[[#This Row],[hargaSatuan]]</f>
        <v>0</v>
      </c>
      <c r="L932" s="50">
        <v>50</v>
      </c>
      <c r="M932" s="51">
        <f>Lab[[#This Row],[qtyDist2025]]*Lab[[#This Row],[hargaSatuan]]</f>
        <v>95000</v>
      </c>
      <c r="N932" s="50">
        <v>0</v>
      </c>
      <c r="O932" s="51">
        <f>Lab[[#This Row],[qtyEd2025]]*Lab[[#This Row],[hargaSatuan]]</f>
        <v>0</v>
      </c>
      <c r="P932" s="50">
        <f>Lab[[#This Row],[qtySaldoAwalSem1]]+Lab[[#This Row],[qtyTerima2025]]-(Lab[[#This Row],[qtyDist2025]]+Lab[[#This Row],[qtyEd2025]])</f>
        <v>0</v>
      </c>
      <c r="Q932" s="52">
        <f>Lab[[#This Row],[qtySaldoAkhir2025]]*Lab[[#This Row],[hargaSatuan]]</f>
        <v>0</v>
      </c>
      <c r="S932" s="32">
        <f t="shared" si="28"/>
        <v>0</v>
      </c>
      <c r="T932" s="32">
        <f t="shared" si="29"/>
        <v>0</v>
      </c>
    </row>
    <row r="933" spans="1:59" ht="14.4" x14ac:dyDescent="0.3">
      <c r="A933" s="44">
        <v>116</v>
      </c>
      <c r="B933" s="45" t="s">
        <v>1120</v>
      </c>
      <c r="C933" s="46" t="s">
        <v>962</v>
      </c>
      <c r="D933" s="47" t="s">
        <v>1124</v>
      </c>
      <c r="E933" s="48">
        <v>46048</v>
      </c>
      <c r="F933" s="49">
        <v>1900</v>
      </c>
      <c r="G933" s="45" t="s">
        <v>54</v>
      </c>
      <c r="H933" s="50">
        <v>110</v>
      </c>
      <c r="I933" s="49">
        <f>Lab[[#This Row],[qtySaldoAwalSem1]]*Lab[[#This Row],[hargaSatuan]]</f>
        <v>209000</v>
      </c>
      <c r="J933" s="50">
        <v>0</v>
      </c>
      <c r="K933" s="51">
        <f>Lab[[#This Row],[qtyTerima2025]]*Lab[[#This Row],[hargaSatuan]]</f>
        <v>0</v>
      </c>
      <c r="L933" s="50">
        <v>110</v>
      </c>
      <c r="M933" s="51">
        <f>Lab[[#This Row],[qtyDist2025]]*Lab[[#This Row],[hargaSatuan]]</f>
        <v>209000</v>
      </c>
      <c r="N933" s="50">
        <v>0</v>
      </c>
      <c r="O933" s="51">
        <f>Lab[[#This Row],[qtyEd2025]]*Lab[[#This Row],[hargaSatuan]]</f>
        <v>0</v>
      </c>
      <c r="P933" s="50">
        <f>Lab[[#This Row],[qtySaldoAwalSem1]]+Lab[[#This Row],[qtyTerima2025]]-(Lab[[#This Row],[qtyDist2025]]+Lab[[#This Row],[qtyEd2025]])</f>
        <v>0</v>
      </c>
      <c r="Q933" s="52">
        <f>Lab[[#This Row],[qtySaldoAkhir2025]]*Lab[[#This Row],[hargaSatuan]]</f>
        <v>0</v>
      </c>
      <c r="S933" s="32">
        <f t="shared" si="28"/>
        <v>0</v>
      </c>
      <c r="T933" s="32">
        <f t="shared" si="29"/>
        <v>0</v>
      </c>
    </row>
    <row r="934" spans="1:59" ht="14.4" x14ac:dyDescent="0.3">
      <c r="A934" s="76">
        <v>117</v>
      </c>
      <c r="B934" s="45" t="s">
        <v>1120</v>
      </c>
      <c r="C934" s="46" t="s">
        <v>962</v>
      </c>
      <c r="D934" s="47" t="s">
        <v>1125</v>
      </c>
      <c r="E934" s="48" t="s">
        <v>966</v>
      </c>
      <c r="F934" s="49">
        <v>1900</v>
      </c>
      <c r="G934" s="45" t="s">
        <v>54</v>
      </c>
      <c r="H934" s="50">
        <v>230</v>
      </c>
      <c r="I934" s="49">
        <f>Lab[[#This Row],[qtySaldoAwalSem1]]*Lab[[#This Row],[hargaSatuan]]</f>
        <v>437000</v>
      </c>
      <c r="J934" s="50">
        <v>0</v>
      </c>
      <c r="K934" s="51">
        <f>Lab[[#This Row],[qtyTerima2025]]*Lab[[#This Row],[hargaSatuan]]</f>
        <v>0</v>
      </c>
      <c r="L934" s="50">
        <v>230</v>
      </c>
      <c r="M934" s="51">
        <f>Lab[[#This Row],[qtyDist2025]]*Lab[[#This Row],[hargaSatuan]]</f>
        <v>437000</v>
      </c>
      <c r="N934" s="50">
        <v>0</v>
      </c>
      <c r="O934" s="51">
        <f>Lab[[#This Row],[qtyEd2025]]*Lab[[#This Row],[hargaSatuan]]</f>
        <v>0</v>
      </c>
      <c r="P934" s="50">
        <f>Lab[[#This Row],[qtySaldoAwalSem1]]+Lab[[#This Row],[qtyTerima2025]]-(Lab[[#This Row],[qtyDist2025]]+Lab[[#This Row],[qtyEd2025]])</f>
        <v>0</v>
      </c>
      <c r="Q934" s="52">
        <f>Lab[[#This Row],[qtySaldoAkhir2025]]*Lab[[#This Row],[hargaSatuan]]</f>
        <v>0</v>
      </c>
      <c r="S934" s="32">
        <f t="shared" si="28"/>
        <v>0</v>
      </c>
      <c r="T934" s="32">
        <f t="shared" si="29"/>
        <v>0</v>
      </c>
    </row>
    <row r="935" spans="1:59" ht="28.8" x14ac:dyDescent="0.3">
      <c r="A935" s="44">
        <v>118</v>
      </c>
      <c r="B935" s="45" t="s">
        <v>1120</v>
      </c>
      <c r="C935" s="46" t="s">
        <v>962</v>
      </c>
      <c r="D935" s="47">
        <v>10122488</v>
      </c>
      <c r="E935" s="48">
        <v>46353</v>
      </c>
      <c r="F935" s="49">
        <v>1195</v>
      </c>
      <c r="G935" s="45" t="s">
        <v>49</v>
      </c>
      <c r="H935" s="50">
        <v>0</v>
      </c>
      <c r="I935" s="49">
        <f>Lab[[#This Row],[qtySaldoAwalSem1]]*Lab[[#This Row],[hargaSatuan]]</f>
        <v>0</v>
      </c>
      <c r="J935" s="50">
        <v>650</v>
      </c>
      <c r="K935" s="51">
        <f>Lab[[#This Row],[qtyTerima2025]]*Lab[[#This Row],[hargaSatuan]]</f>
        <v>776750</v>
      </c>
      <c r="L935" s="50">
        <v>200</v>
      </c>
      <c r="M935" s="51">
        <f>Lab[[#This Row],[qtyDist2025]]*Lab[[#This Row],[hargaSatuan]]</f>
        <v>239000</v>
      </c>
      <c r="N935" s="50">
        <v>0</v>
      </c>
      <c r="O935" s="51">
        <f>Lab[[#This Row],[qtyEd2025]]*Lab[[#This Row],[hargaSatuan]]</f>
        <v>0</v>
      </c>
      <c r="P935" s="50">
        <f>Lab[[#This Row],[qtySaldoAwalSem1]]+Lab[[#This Row],[qtyTerima2025]]-(Lab[[#This Row],[qtyDist2025]]+Lab[[#This Row],[qtyEd2025]])</f>
        <v>450</v>
      </c>
      <c r="Q935" s="52">
        <f>Lab[[#This Row],[qtySaldoAkhir2025]]*Lab[[#This Row],[hargaSatuan]]</f>
        <v>537750</v>
      </c>
      <c r="S935" s="32">
        <f t="shared" si="28"/>
        <v>537750</v>
      </c>
      <c r="T935" s="32">
        <f t="shared" si="29"/>
        <v>0</v>
      </c>
    </row>
    <row r="936" spans="1:59" ht="14.4" x14ac:dyDescent="0.3">
      <c r="A936" s="76">
        <v>119</v>
      </c>
      <c r="B936" s="45" t="s">
        <v>1127</v>
      </c>
      <c r="C936" s="46" t="s">
        <v>962</v>
      </c>
      <c r="D936" s="47" t="s">
        <v>1128</v>
      </c>
      <c r="E936" s="48">
        <v>46107</v>
      </c>
      <c r="F936" s="49">
        <v>2318.457142857143</v>
      </c>
      <c r="G936" s="45" t="s">
        <v>17</v>
      </c>
      <c r="H936" s="50">
        <v>4300</v>
      </c>
      <c r="I936" s="49">
        <f>Lab[[#This Row],[qtySaldoAwalSem1]]*Lab[[#This Row],[hargaSatuan]]</f>
        <v>9969365.7142857146</v>
      </c>
      <c r="J936" s="50">
        <v>0</v>
      </c>
      <c r="K936" s="51">
        <f>Lab[[#This Row],[qtyTerima2025]]*Lab[[#This Row],[hargaSatuan]]</f>
        <v>0</v>
      </c>
      <c r="L936" s="50">
        <v>4300</v>
      </c>
      <c r="M936" s="51">
        <f>Lab[[#This Row],[qtyDist2025]]*Lab[[#This Row],[hargaSatuan]]</f>
        <v>9969365.7142857146</v>
      </c>
      <c r="N936" s="50">
        <v>0</v>
      </c>
      <c r="O936" s="51">
        <f>Lab[[#This Row],[qtyEd2025]]*Lab[[#This Row],[hargaSatuan]]</f>
        <v>0</v>
      </c>
      <c r="P936" s="50">
        <f>Lab[[#This Row],[qtySaldoAwalSem1]]+Lab[[#This Row],[qtyTerima2025]]-(Lab[[#This Row],[qtyDist2025]]+Lab[[#This Row],[qtyEd2025]])</f>
        <v>0</v>
      </c>
      <c r="Q936" s="52">
        <f>Lab[[#This Row],[qtySaldoAkhir2025]]*Lab[[#This Row],[hargaSatuan]]</f>
        <v>0</v>
      </c>
      <c r="S936" s="32">
        <f t="shared" si="28"/>
        <v>0</v>
      </c>
      <c r="T936" s="32">
        <f t="shared" si="29"/>
        <v>0</v>
      </c>
      <c r="W936" s="74"/>
    </row>
    <row r="937" spans="1:59" ht="14.4" x14ac:dyDescent="0.3">
      <c r="A937" s="44">
        <v>120</v>
      </c>
      <c r="B937" s="45" t="s">
        <v>1127</v>
      </c>
      <c r="C937" s="46" t="s">
        <v>962</v>
      </c>
      <c r="D937" s="47">
        <v>26042388</v>
      </c>
      <c r="E937" s="48">
        <v>46107</v>
      </c>
      <c r="F937" s="49">
        <v>2501.94</v>
      </c>
      <c r="G937" s="45" t="s">
        <v>54</v>
      </c>
      <c r="H937" s="50">
        <v>1450</v>
      </c>
      <c r="I937" s="49">
        <f>Lab[[#This Row],[qtySaldoAwalSem1]]*Lab[[#This Row],[hargaSatuan]]</f>
        <v>3627813</v>
      </c>
      <c r="J937" s="50">
        <v>0</v>
      </c>
      <c r="K937" s="51">
        <f>Lab[[#This Row],[qtyTerima2025]]*Lab[[#This Row],[hargaSatuan]]</f>
        <v>0</v>
      </c>
      <c r="L937" s="50">
        <v>1450</v>
      </c>
      <c r="M937" s="51">
        <f>Lab[[#This Row],[qtyDist2025]]*Lab[[#This Row],[hargaSatuan]]</f>
        <v>3627813</v>
      </c>
      <c r="N937" s="50">
        <v>0</v>
      </c>
      <c r="O937" s="51">
        <f>Lab[[#This Row],[qtyEd2025]]*Lab[[#This Row],[hargaSatuan]]</f>
        <v>0</v>
      </c>
      <c r="P937" s="50">
        <f>Lab[[#This Row],[qtySaldoAwalSem1]]+Lab[[#This Row],[qtyTerima2025]]-(Lab[[#This Row],[qtyDist2025]]+Lab[[#This Row],[qtyEd2025]])</f>
        <v>0</v>
      </c>
      <c r="Q937" s="52">
        <f>Lab[[#This Row],[qtySaldoAkhir2025]]*Lab[[#This Row],[hargaSatuan]]</f>
        <v>0</v>
      </c>
      <c r="S937" s="32">
        <f t="shared" si="28"/>
        <v>0</v>
      </c>
      <c r="T937" s="32">
        <f t="shared" si="29"/>
        <v>0</v>
      </c>
      <c r="W937" s="74"/>
    </row>
    <row r="938" spans="1:59" ht="28.8" x14ac:dyDescent="0.3">
      <c r="A938" s="76">
        <v>121</v>
      </c>
      <c r="B938" s="45" t="s">
        <v>1127</v>
      </c>
      <c r="C938" s="46" t="s">
        <v>962</v>
      </c>
      <c r="D938" s="47">
        <v>8042588</v>
      </c>
      <c r="E938" s="48">
        <v>46109</v>
      </c>
      <c r="F938" s="49">
        <v>2501.94</v>
      </c>
      <c r="G938" s="45" t="s">
        <v>49</v>
      </c>
      <c r="H938" s="50">
        <v>0</v>
      </c>
      <c r="I938" s="49">
        <f>Lab[[#This Row],[qtySaldoAwalSem1]]*Lab[[#This Row],[hargaSatuan]]</f>
        <v>0</v>
      </c>
      <c r="J938" s="50">
        <v>3400</v>
      </c>
      <c r="K938" s="51">
        <f>Lab[[#This Row],[qtyTerima2025]]*Lab[[#This Row],[hargaSatuan]]</f>
        <v>8506596</v>
      </c>
      <c r="L938" s="50">
        <v>0</v>
      </c>
      <c r="M938" s="51">
        <f>Lab[[#This Row],[qtyDist2025]]*Lab[[#This Row],[hargaSatuan]]</f>
        <v>0</v>
      </c>
      <c r="N938" s="50">
        <v>0</v>
      </c>
      <c r="O938" s="51">
        <f>Lab[[#This Row],[qtyEd2025]]*Lab[[#This Row],[hargaSatuan]]</f>
        <v>0</v>
      </c>
      <c r="P938" s="50">
        <f>Lab[[#This Row],[qtySaldoAwalSem1]]+Lab[[#This Row],[qtyTerima2025]]-(Lab[[#This Row],[qtyDist2025]]+Lab[[#This Row],[qtyEd2025]])</f>
        <v>3400</v>
      </c>
      <c r="Q938" s="52">
        <f>Lab[[#This Row],[qtySaldoAkhir2025]]*Lab[[#This Row],[hargaSatuan]]</f>
        <v>8506596</v>
      </c>
      <c r="S938" s="32">
        <f t="shared" si="28"/>
        <v>8506596</v>
      </c>
      <c r="T938" s="32">
        <f t="shared" si="29"/>
        <v>0</v>
      </c>
      <c r="W938" s="74"/>
    </row>
    <row r="939" spans="1:59" ht="14.4" x14ac:dyDescent="0.3">
      <c r="A939" s="44">
        <v>122</v>
      </c>
      <c r="B939" s="45" t="s">
        <v>1129</v>
      </c>
      <c r="C939" s="46" t="s">
        <v>962</v>
      </c>
      <c r="D939" s="47" t="s">
        <v>1130</v>
      </c>
      <c r="E939" s="48" t="s">
        <v>1040</v>
      </c>
      <c r="F939" s="49">
        <v>30500</v>
      </c>
      <c r="G939" s="45" t="s">
        <v>17</v>
      </c>
      <c r="H939" s="50">
        <v>2170</v>
      </c>
      <c r="I939" s="49">
        <f>Lab[[#This Row],[qtySaldoAwalSem1]]*Lab[[#This Row],[hargaSatuan]]</f>
        <v>66185000</v>
      </c>
      <c r="J939" s="50">
        <v>0</v>
      </c>
      <c r="K939" s="51">
        <f>Lab[[#This Row],[qtyTerima2025]]*Lab[[#This Row],[hargaSatuan]]</f>
        <v>0</v>
      </c>
      <c r="L939" s="50">
        <v>2170</v>
      </c>
      <c r="M939" s="51">
        <f>Lab[[#This Row],[qtyDist2025]]*Lab[[#This Row],[hargaSatuan]]</f>
        <v>66185000</v>
      </c>
      <c r="N939" s="50">
        <v>0</v>
      </c>
      <c r="O939" s="51">
        <f>Lab[[#This Row],[qtyEd2025]]*Lab[[#This Row],[hargaSatuan]]</f>
        <v>0</v>
      </c>
      <c r="P939" s="50">
        <f>Lab[[#This Row],[qtySaldoAwalSem1]]+Lab[[#This Row],[qtyTerima2025]]-(Lab[[#This Row],[qtyDist2025]]+Lab[[#This Row],[qtyEd2025]])</f>
        <v>0</v>
      </c>
      <c r="Q939" s="52">
        <f>Lab[[#This Row],[qtySaldoAkhir2025]]*Lab[[#This Row],[hargaSatuan]]</f>
        <v>0</v>
      </c>
      <c r="S939" s="32">
        <f t="shared" si="28"/>
        <v>0</v>
      </c>
      <c r="T939" s="32">
        <f t="shared" si="29"/>
        <v>0</v>
      </c>
    </row>
    <row r="940" spans="1:59" ht="28.8" x14ac:dyDescent="0.3">
      <c r="A940" s="76">
        <v>123</v>
      </c>
      <c r="B940" s="77" t="s">
        <v>1131</v>
      </c>
      <c r="C940" s="78" t="s">
        <v>962</v>
      </c>
      <c r="D940" s="79" t="s">
        <v>1132</v>
      </c>
      <c r="E940" s="80">
        <v>46049</v>
      </c>
      <c r="F940" s="81">
        <v>22600</v>
      </c>
      <c r="G940" s="77" t="s">
        <v>49</v>
      </c>
      <c r="H940" s="82">
        <v>0</v>
      </c>
      <c r="I940" s="49">
        <f>Lab[[#This Row],[qtySaldoAwalSem1]]*Lab[[#This Row],[hargaSatuan]]</f>
        <v>0</v>
      </c>
      <c r="J940" s="82">
        <v>5930</v>
      </c>
      <c r="K940" s="51">
        <f>Lab[[#This Row],[qtyTerima2025]]*Lab[[#This Row],[hargaSatuan]]</f>
        <v>134018000</v>
      </c>
      <c r="L940" s="82">
        <v>5930</v>
      </c>
      <c r="M940" s="51">
        <f>Lab[[#This Row],[qtyDist2025]]*Lab[[#This Row],[hargaSatuan]]</f>
        <v>134018000</v>
      </c>
      <c r="N940" s="82">
        <v>0</v>
      </c>
      <c r="O940" s="51">
        <f>Lab[[#This Row],[qtyEd2025]]*Lab[[#This Row],[hargaSatuan]]</f>
        <v>0</v>
      </c>
      <c r="P940" s="50">
        <f>Lab[[#This Row],[qtySaldoAwalSem1]]+Lab[[#This Row],[qtyTerima2025]]-(Lab[[#This Row],[qtyDist2025]]+Lab[[#This Row],[qtyEd2025]])</f>
        <v>0</v>
      </c>
      <c r="Q940" s="52">
        <f>Lab[[#This Row],[qtySaldoAkhir2025]]*Lab[[#This Row],[hargaSatuan]]</f>
        <v>0</v>
      </c>
      <c r="R940" s="74"/>
      <c r="S940" s="32">
        <f t="shared" si="28"/>
        <v>0</v>
      </c>
      <c r="T940" s="32">
        <f t="shared" si="29"/>
        <v>0</v>
      </c>
      <c r="U940" s="74"/>
      <c r="V940" s="74"/>
      <c r="X940" s="74"/>
      <c r="Y940" s="74"/>
      <c r="Z940" s="74"/>
      <c r="AA940" s="74"/>
      <c r="AB940" s="74"/>
      <c r="AC940" s="74"/>
      <c r="AD940" s="74"/>
      <c r="AE940" s="74"/>
      <c r="AF940" s="74"/>
      <c r="AG940" s="74"/>
      <c r="AH940" s="74"/>
      <c r="AI940" s="74"/>
      <c r="AJ940" s="74"/>
      <c r="AK940" s="74"/>
      <c r="AL940" s="74"/>
      <c r="AM940" s="74"/>
      <c r="AN940" s="74"/>
      <c r="AO940" s="74"/>
      <c r="AP940" s="74"/>
      <c r="AQ940" s="74"/>
      <c r="AR940" s="74"/>
      <c r="AS940" s="74"/>
      <c r="AT940" s="74"/>
      <c r="AU940" s="74"/>
      <c r="AV940" s="74"/>
      <c r="AW940" s="74"/>
      <c r="AX940" s="74"/>
      <c r="AY940" s="74"/>
      <c r="AZ940" s="74"/>
      <c r="BA940" s="74"/>
      <c r="BB940" s="74"/>
      <c r="BC940" s="74"/>
      <c r="BD940" s="74"/>
      <c r="BE940" s="74"/>
      <c r="BF940" s="74"/>
      <c r="BG940" s="74"/>
    </row>
    <row r="941" spans="1:59" ht="28.8" x14ac:dyDescent="0.3">
      <c r="A941" s="44">
        <v>124</v>
      </c>
      <c r="B941" s="77" t="s">
        <v>1131</v>
      </c>
      <c r="C941" s="78" t="s">
        <v>962</v>
      </c>
      <c r="D941" s="79" t="s">
        <v>1133</v>
      </c>
      <c r="E941" s="80">
        <v>46049</v>
      </c>
      <c r="F941" s="81">
        <v>22600</v>
      </c>
      <c r="G941" s="77" t="s">
        <v>49</v>
      </c>
      <c r="H941" s="82">
        <v>0</v>
      </c>
      <c r="I941" s="49">
        <f>Lab[[#This Row],[qtySaldoAwalSem1]]*Lab[[#This Row],[hargaSatuan]]</f>
        <v>0</v>
      </c>
      <c r="J941" s="82">
        <v>70</v>
      </c>
      <c r="K941" s="51">
        <f>Lab[[#This Row],[qtyTerima2025]]*Lab[[#This Row],[hargaSatuan]]</f>
        <v>1582000</v>
      </c>
      <c r="L941" s="82">
        <v>70</v>
      </c>
      <c r="M941" s="51">
        <f>Lab[[#This Row],[qtyDist2025]]*Lab[[#This Row],[hargaSatuan]]</f>
        <v>1582000</v>
      </c>
      <c r="N941" s="82">
        <v>0</v>
      </c>
      <c r="O941" s="51">
        <f>Lab[[#This Row],[qtyEd2025]]*Lab[[#This Row],[hargaSatuan]]</f>
        <v>0</v>
      </c>
      <c r="P941" s="50">
        <f>Lab[[#This Row],[qtySaldoAwalSem1]]+Lab[[#This Row],[qtyTerima2025]]-(Lab[[#This Row],[qtyDist2025]]+Lab[[#This Row],[qtyEd2025]])</f>
        <v>0</v>
      </c>
      <c r="Q941" s="52">
        <f>Lab[[#This Row],[qtySaldoAkhir2025]]*Lab[[#This Row],[hargaSatuan]]</f>
        <v>0</v>
      </c>
      <c r="R941" s="74"/>
      <c r="S941" s="32">
        <f t="shared" si="28"/>
        <v>0</v>
      </c>
      <c r="T941" s="32">
        <f t="shared" si="29"/>
        <v>0</v>
      </c>
      <c r="U941" s="74"/>
      <c r="V941" s="74"/>
      <c r="X941" s="74"/>
      <c r="Y941" s="74"/>
      <c r="Z941" s="74"/>
      <c r="AA941" s="74"/>
      <c r="AB941" s="74"/>
      <c r="AC941" s="74"/>
      <c r="AD941" s="74"/>
      <c r="AE941" s="74"/>
      <c r="AF941" s="74"/>
      <c r="AG941" s="74"/>
      <c r="AH941" s="74"/>
      <c r="AI941" s="74"/>
      <c r="AJ941" s="74"/>
      <c r="AK941" s="74"/>
      <c r="AL941" s="74"/>
      <c r="AM941" s="74"/>
      <c r="AN941" s="74"/>
      <c r="AO941" s="74"/>
      <c r="AP941" s="74"/>
      <c r="AQ941" s="74"/>
      <c r="AR941" s="74"/>
      <c r="AS941" s="74"/>
      <c r="AT941" s="74"/>
      <c r="AU941" s="74"/>
      <c r="AV941" s="74"/>
      <c r="AW941" s="74"/>
      <c r="AX941" s="74"/>
      <c r="AY941" s="74"/>
      <c r="AZ941" s="74"/>
      <c r="BA941" s="74"/>
      <c r="BB941" s="74"/>
      <c r="BC941" s="74"/>
      <c r="BD941" s="74"/>
      <c r="BE941" s="74"/>
      <c r="BF941" s="74"/>
      <c r="BG941" s="74"/>
    </row>
    <row r="942" spans="1:59" ht="28.8" x14ac:dyDescent="0.3">
      <c r="A942" s="76">
        <v>125</v>
      </c>
      <c r="B942" s="77" t="s">
        <v>1131</v>
      </c>
      <c r="C942" s="78" t="s">
        <v>962</v>
      </c>
      <c r="D942" s="79" t="s">
        <v>257</v>
      </c>
      <c r="E942" s="80">
        <v>46201</v>
      </c>
      <c r="F942" s="81">
        <v>22553.505535055352</v>
      </c>
      <c r="G942" s="77" t="s">
        <v>49</v>
      </c>
      <c r="H942" s="82">
        <v>0</v>
      </c>
      <c r="I942" s="49">
        <f>Lab[[#This Row],[qtySaldoAwalSem1]]*Lab[[#This Row],[hargaSatuan]]</f>
        <v>0</v>
      </c>
      <c r="J942" s="82">
        <v>2710</v>
      </c>
      <c r="K942" s="51">
        <f>Lab[[#This Row],[qtyTerima2025]]*Lab[[#This Row],[hargaSatuan]]</f>
        <v>61120000.000000007</v>
      </c>
      <c r="L942" s="82">
        <v>2710</v>
      </c>
      <c r="M942" s="51">
        <f>Lab[[#This Row],[qtyDist2025]]*Lab[[#This Row],[hargaSatuan]]</f>
        <v>61120000.000000007</v>
      </c>
      <c r="N942" s="82">
        <v>0</v>
      </c>
      <c r="O942" s="51">
        <f>Lab[[#This Row],[qtyEd2025]]*Lab[[#This Row],[hargaSatuan]]</f>
        <v>0</v>
      </c>
      <c r="P942" s="50">
        <f>Lab[[#This Row],[qtySaldoAwalSem1]]+Lab[[#This Row],[qtyTerima2025]]-(Lab[[#This Row],[qtyDist2025]]+Lab[[#This Row],[qtyEd2025]])</f>
        <v>0</v>
      </c>
      <c r="Q942" s="52">
        <f>Lab[[#This Row],[qtySaldoAkhir2025]]*Lab[[#This Row],[hargaSatuan]]</f>
        <v>0</v>
      </c>
      <c r="R942" s="74"/>
      <c r="S942" s="32">
        <f t="shared" si="28"/>
        <v>0</v>
      </c>
      <c r="T942" s="32">
        <f t="shared" si="29"/>
        <v>0</v>
      </c>
      <c r="U942" s="74"/>
      <c r="V942" s="74"/>
      <c r="X942" s="74"/>
      <c r="Y942" s="74"/>
      <c r="Z942" s="74"/>
      <c r="AA942" s="74"/>
      <c r="AB942" s="74"/>
      <c r="AC942" s="74"/>
      <c r="AD942" s="74"/>
      <c r="AE942" s="74"/>
      <c r="AF942" s="74"/>
      <c r="AG942" s="74"/>
      <c r="AH942" s="74"/>
      <c r="AI942" s="74"/>
      <c r="AJ942" s="74"/>
      <c r="AK942" s="74"/>
      <c r="AL942" s="74"/>
      <c r="AM942" s="74"/>
      <c r="AN942" s="74"/>
      <c r="AO942" s="74"/>
      <c r="AP942" s="74"/>
      <c r="AQ942" s="74"/>
      <c r="AR942" s="74"/>
      <c r="AS942" s="74"/>
      <c r="AT942" s="74"/>
      <c r="AU942" s="74"/>
      <c r="AV942" s="74"/>
      <c r="AW942" s="74"/>
      <c r="AX942" s="74"/>
      <c r="AY942" s="74"/>
      <c r="AZ942" s="74"/>
      <c r="BA942" s="74"/>
      <c r="BB942" s="74"/>
      <c r="BC942" s="74"/>
      <c r="BD942" s="74"/>
      <c r="BE942" s="74"/>
      <c r="BF942" s="74"/>
      <c r="BG942" s="74"/>
    </row>
    <row r="943" spans="1:59" ht="14.4" x14ac:dyDescent="0.3">
      <c r="A943" s="44">
        <v>126</v>
      </c>
      <c r="B943" s="45" t="s">
        <v>1134</v>
      </c>
      <c r="C943" s="46" t="s">
        <v>962</v>
      </c>
      <c r="D943" s="47">
        <v>20048260</v>
      </c>
      <c r="E943" s="48">
        <v>46107</v>
      </c>
      <c r="F943" s="49">
        <v>3489.5829959514172</v>
      </c>
      <c r="G943" s="45" t="s">
        <v>54</v>
      </c>
      <c r="H943" s="50">
        <v>33600</v>
      </c>
      <c r="I943" s="49">
        <f>Lab[[#This Row],[qtySaldoAwalSem1]]*Lab[[#This Row],[hargaSatuan]]</f>
        <v>117249988.66396761</v>
      </c>
      <c r="J943" s="50">
        <v>0</v>
      </c>
      <c r="K943" s="51">
        <f>Lab[[#This Row],[qtyTerima2025]]*Lab[[#This Row],[hargaSatuan]]</f>
        <v>0</v>
      </c>
      <c r="L943" s="50">
        <v>33600</v>
      </c>
      <c r="M943" s="51">
        <f>Lab[[#This Row],[qtyDist2025]]*Lab[[#This Row],[hargaSatuan]]</f>
        <v>117249988.66396761</v>
      </c>
      <c r="N943" s="50">
        <v>0</v>
      </c>
      <c r="O943" s="51">
        <f>Lab[[#This Row],[qtyEd2025]]*Lab[[#This Row],[hargaSatuan]]</f>
        <v>0</v>
      </c>
      <c r="P943" s="50">
        <f>Lab[[#This Row],[qtySaldoAwalSem1]]+Lab[[#This Row],[qtyTerima2025]]-(Lab[[#This Row],[qtyDist2025]]+Lab[[#This Row],[qtyEd2025]])</f>
        <v>0</v>
      </c>
      <c r="Q943" s="52">
        <f>Lab[[#This Row],[qtySaldoAkhir2025]]*Lab[[#This Row],[hargaSatuan]]</f>
        <v>0</v>
      </c>
      <c r="S943" s="32">
        <f t="shared" si="28"/>
        <v>0</v>
      </c>
      <c r="T943" s="32">
        <f t="shared" si="29"/>
        <v>0</v>
      </c>
    </row>
    <row r="944" spans="1:59" ht="14.4" x14ac:dyDescent="0.3">
      <c r="A944" s="76">
        <v>127</v>
      </c>
      <c r="B944" s="45" t="s">
        <v>1135</v>
      </c>
      <c r="C944" s="46" t="s">
        <v>962</v>
      </c>
      <c r="D944" s="47" t="s">
        <v>1136</v>
      </c>
      <c r="E944" s="48">
        <v>46139</v>
      </c>
      <c r="F944" s="49">
        <v>3764.46</v>
      </c>
      <c r="G944" s="45" t="s">
        <v>54</v>
      </c>
      <c r="H944" s="50">
        <v>0</v>
      </c>
      <c r="I944" s="49">
        <f>Lab[[#This Row],[qtySaldoAwalSem1]]*Lab[[#This Row],[hargaSatuan]]</f>
        <v>0</v>
      </c>
      <c r="J944" s="50">
        <v>47225</v>
      </c>
      <c r="K944" s="51">
        <f>Lab[[#This Row],[qtyTerima2025]]*Lab[[#This Row],[hargaSatuan]]</f>
        <v>177776623.5</v>
      </c>
      <c r="L944" s="50">
        <v>35250</v>
      </c>
      <c r="M944" s="51">
        <f>Lab[[#This Row],[qtyDist2025]]*Lab[[#This Row],[hargaSatuan]]</f>
        <v>132697215</v>
      </c>
      <c r="N944" s="50">
        <v>0</v>
      </c>
      <c r="O944" s="51">
        <f>Lab[[#This Row],[qtyEd2025]]*Lab[[#This Row],[hargaSatuan]]</f>
        <v>0</v>
      </c>
      <c r="P944" s="50">
        <f>Lab[[#This Row],[qtySaldoAwalSem1]]+Lab[[#This Row],[qtyTerima2025]]-(Lab[[#This Row],[qtyDist2025]]+Lab[[#This Row],[qtyEd2025]])</f>
        <v>11975</v>
      </c>
      <c r="Q944" s="52">
        <f>Lab[[#This Row],[qtySaldoAkhir2025]]*Lab[[#This Row],[hargaSatuan]]</f>
        <v>45079408.5</v>
      </c>
      <c r="S944" s="32">
        <f t="shared" si="28"/>
        <v>45079408.5</v>
      </c>
      <c r="T944" s="32">
        <f t="shared" si="29"/>
        <v>0</v>
      </c>
    </row>
    <row r="945" spans="1:20" ht="14.4" x14ac:dyDescent="0.3">
      <c r="A945" s="44">
        <v>128</v>
      </c>
      <c r="B945" s="45" t="s">
        <v>1135</v>
      </c>
      <c r="C945" s="46" t="s">
        <v>962</v>
      </c>
      <c r="D945" s="47" t="s">
        <v>1136</v>
      </c>
      <c r="E945" s="48">
        <v>46200</v>
      </c>
      <c r="F945" s="49">
        <v>3741.7858532663317</v>
      </c>
      <c r="G945" s="45" t="s">
        <v>54</v>
      </c>
      <c r="H945" s="50">
        <v>0</v>
      </c>
      <c r="I945" s="49">
        <f>Lab[[#This Row],[qtySaldoAwalSem1]]*Lab[[#This Row],[hargaSatuan]]</f>
        <v>0</v>
      </c>
      <c r="J945" s="50">
        <v>34825</v>
      </c>
      <c r="K945" s="51">
        <f>Lab[[#This Row],[qtyTerima2025]]*Lab[[#This Row],[hargaSatuan]]</f>
        <v>130307692.34</v>
      </c>
      <c r="L945" s="50">
        <v>0</v>
      </c>
      <c r="M945" s="51">
        <f>Lab[[#This Row],[qtyDist2025]]*Lab[[#This Row],[hargaSatuan]]</f>
        <v>0</v>
      </c>
      <c r="N945" s="50">
        <v>0</v>
      </c>
      <c r="O945" s="51">
        <f>Lab[[#This Row],[qtyEd2025]]*Lab[[#This Row],[hargaSatuan]]</f>
        <v>0</v>
      </c>
      <c r="P945" s="50">
        <f>Lab[[#This Row],[qtySaldoAwalSem1]]+Lab[[#This Row],[qtyTerima2025]]-(Lab[[#This Row],[qtyDist2025]]+Lab[[#This Row],[qtyEd2025]])</f>
        <v>34825</v>
      </c>
      <c r="Q945" s="52">
        <f>Lab[[#This Row],[qtySaldoAkhir2025]]*Lab[[#This Row],[hargaSatuan]]</f>
        <v>130307692.34</v>
      </c>
      <c r="S945" s="32">
        <f t="shared" si="28"/>
        <v>130307692.34</v>
      </c>
      <c r="T945" s="32">
        <f t="shared" si="29"/>
        <v>0</v>
      </c>
    </row>
    <row r="946" spans="1:20" ht="14.4" x14ac:dyDescent="0.3">
      <c r="A946" s="76">
        <v>129</v>
      </c>
      <c r="B946" s="45" t="s">
        <v>1135</v>
      </c>
      <c r="C946" s="46" t="s">
        <v>962</v>
      </c>
      <c r="D946" s="47" t="s">
        <v>1137</v>
      </c>
      <c r="E946" s="48">
        <v>46139</v>
      </c>
      <c r="F946" s="49">
        <v>3741.7858540540542</v>
      </c>
      <c r="G946" s="45" t="s">
        <v>54</v>
      </c>
      <c r="H946" s="50">
        <v>0</v>
      </c>
      <c r="I946" s="49">
        <f>Lab[[#This Row],[qtySaldoAwalSem1]]*Lab[[#This Row],[hargaSatuan]]</f>
        <v>0</v>
      </c>
      <c r="J946" s="50">
        <v>3700</v>
      </c>
      <c r="K946" s="51">
        <f>Lab[[#This Row],[qtyTerima2025]]*Lab[[#This Row],[hargaSatuan]]</f>
        <v>13844607.66</v>
      </c>
      <c r="L946" s="50">
        <v>0</v>
      </c>
      <c r="M946" s="51">
        <f>Lab[[#This Row],[qtyDist2025]]*Lab[[#This Row],[hargaSatuan]]</f>
        <v>0</v>
      </c>
      <c r="N946" s="50">
        <v>0</v>
      </c>
      <c r="O946" s="51">
        <f>Lab[[#This Row],[qtyEd2025]]*Lab[[#This Row],[hargaSatuan]]</f>
        <v>0</v>
      </c>
      <c r="P946" s="50">
        <f>Lab[[#This Row],[qtySaldoAwalSem1]]+Lab[[#This Row],[qtyTerima2025]]-(Lab[[#This Row],[qtyDist2025]]+Lab[[#This Row],[qtyEd2025]])</f>
        <v>3700</v>
      </c>
      <c r="Q946" s="52">
        <f>Lab[[#This Row],[qtySaldoAkhir2025]]*Lab[[#This Row],[hargaSatuan]]</f>
        <v>13844607.66</v>
      </c>
      <c r="S946" s="32">
        <f t="shared" si="28"/>
        <v>13844607.66</v>
      </c>
      <c r="T946" s="32">
        <f t="shared" si="29"/>
        <v>0</v>
      </c>
    </row>
    <row r="947" spans="1:20" ht="14.4" x14ac:dyDescent="0.3">
      <c r="A947" s="44">
        <v>130</v>
      </c>
      <c r="B947" s="45" t="s">
        <v>1138</v>
      </c>
      <c r="C947" s="46" t="s">
        <v>752</v>
      </c>
      <c r="D947" s="47" t="s">
        <v>1139</v>
      </c>
      <c r="E947" s="48" t="s">
        <v>1021</v>
      </c>
      <c r="F947" s="49">
        <v>8981.818181818182</v>
      </c>
      <c r="G947" s="45" t="s">
        <v>54</v>
      </c>
      <c r="H947" s="50">
        <v>225</v>
      </c>
      <c r="I947" s="49">
        <f>Lab[[#This Row],[qtySaldoAwalSem1]]*Lab[[#This Row],[hargaSatuan]]</f>
        <v>2020909.0909090911</v>
      </c>
      <c r="J947" s="50">
        <v>0</v>
      </c>
      <c r="K947" s="51">
        <f>Lab[[#This Row],[qtyTerima2025]]*Lab[[#This Row],[hargaSatuan]]</f>
        <v>0</v>
      </c>
      <c r="L947" s="50">
        <v>225</v>
      </c>
      <c r="M947" s="51">
        <f>Lab[[#This Row],[qtyDist2025]]*Lab[[#This Row],[hargaSatuan]]</f>
        <v>2020909.0909090911</v>
      </c>
      <c r="N947" s="50">
        <v>0</v>
      </c>
      <c r="O947" s="51">
        <f>Lab[[#This Row],[qtyEd2025]]*Lab[[#This Row],[hargaSatuan]]</f>
        <v>0</v>
      </c>
      <c r="P947" s="50">
        <f>Lab[[#This Row],[qtySaldoAwalSem1]]+Lab[[#This Row],[qtyTerima2025]]-(Lab[[#This Row],[qtyDist2025]]+Lab[[#This Row],[qtyEd2025]])</f>
        <v>0</v>
      </c>
      <c r="Q947" s="52">
        <f>Lab[[#This Row],[qtySaldoAkhir2025]]*Lab[[#This Row],[hargaSatuan]]</f>
        <v>0</v>
      </c>
      <c r="S947" s="32">
        <f t="shared" si="28"/>
        <v>0</v>
      </c>
      <c r="T947" s="32">
        <f t="shared" si="29"/>
        <v>0</v>
      </c>
    </row>
    <row r="948" spans="1:20" ht="14.4" x14ac:dyDescent="0.3">
      <c r="A948" s="76">
        <v>131</v>
      </c>
      <c r="B948" s="45" t="s">
        <v>1140</v>
      </c>
      <c r="C948" s="46" t="s">
        <v>962</v>
      </c>
      <c r="D948" s="47" t="s">
        <v>1141</v>
      </c>
      <c r="E948" s="48">
        <v>46351</v>
      </c>
      <c r="F948" s="49">
        <v>9000</v>
      </c>
      <c r="G948" s="45" t="s">
        <v>17</v>
      </c>
      <c r="H948" s="50">
        <v>13225</v>
      </c>
      <c r="I948" s="49">
        <f>Lab[[#This Row],[qtySaldoAwalSem1]]*Lab[[#This Row],[hargaSatuan]]</f>
        <v>119025000</v>
      </c>
      <c r="J948" s="50">
        <v>0</v>
      </c>
      <c r="K948" s="51">
        <f>Lab[[#This Row],[qtyTerima2025]]*Lab[[#This Row],[hargaSatuan]]</f>
        <v>0</v>
      </c>
      <c r="L948" s="50">
        <v>13225</v>
      </c>
      <c r="M948" s="51">
        <f>Lab[[#This Row],[qtyDist2025]]*Lab[[#This Row],[hargaSatuan]]</f>
        <v>119025000</v>
      </c>
      <c r="N948" s="50">
        <v>0</v>
      </c>
      <c r="O948" s="51">
        <f>Lab[[#This Row],[qtyEd2025]]*Lab[[#This Row],[hargaSatuan]]</f>
        <v>0</v>
      </c>
      <c r="P948" s="50">
        <f>Lab[[#This Row],[qtySaldoAwalSem1]]+Lab[[#This Row],[qtyTerima2025]]-(Lab[[#This Row],[qtyDist2025]]+Lab[[#This Row],[qtyEd2025]])</f>
        <v>0</v>
      </c>
      <c r="Q948" s="52">
        <f>Lab[[#This Row],[qtySaldoAkhir2025]]*Lab[[#This Row],[hargaSatuan]]</f>
        <v>0</v>
      </c>
      <c r="S948" s="32">
        <f t="shared" si="28"/>
        <v>0</v>
      </c>
      <c r="T948" s="32">
        <f t="shared" si="29"/>
        <v>0</v>
      </c>
    </row>
    <row r="949" spans="1:20" ht="14.4" x14ac:dyDescent="0.3">
      <c r="A949" s="44">
        <v>132</v>
      </c>
      <c r="B949" s="45" t="s">
        <v>1140</v>
      </c>
      <c r="C949" s="46" t="s">
        <v>962</v>
      </c>
      <c r="D949" s="47" t="s">
        <v>1142</v>
      </c>
      <c r="E949" s="48" t="s">
        <v>982</v>
      </c>
      <c r="F949" s="49">
        <v>10120.427808</v>
      </c>
      <c r="G949" s="45" t="s">
        <v>36</v>
      </c>
      <c r="H949" s="50">
        <v>0</v>
      </c>
      <c r="I949" s="49">
        <f>Lab[[#This Row],[qtySaldoAwalSem1]]*Lab[[#This Row],[hargaSatuan]]</f>
        <v>0</v>
      </c>
      <c r="J949" s="50">
        <v>7500</v>
      </c>
      <c r="K949" s="51">
        <f>Lab[[#This Row],[qtyTerima2025]]*Lab[[#This Row],[hargaSatuan]]</f>
        <v>75903208.560000002</v>
      </c>
      <c r="L949" s="50">
        <v>7500</v>
      </c>
      <c r="M949" s="51">
        <f>Lab[[#This Row],[qtyDist2025]]*Lab[[#This Row],[hargaSatuan]]</f>
        <v>75903208.560000002</v>
      </c>
      <c r="N949" s="50">
        <v>0</v>
      </c>
      <c r="O949" s="51">
        <f>Lab[[#This Row],[qtyEd2025]]*Lab[[#This Row],[hargaSatuan]]</f>
        <v>0</v>
      </c>
      <c r="P949" s="50">
        <f>Lab[[#This Row],[qtySaldoAwalSem1]]+Lab[[#This Row],[qtyTerima2025]]-(Lab[[#This Row],[qtyDist2025]]+Lab[[#This Row],[qtyEd2025]])</f>
        <v>0</v>
      </c>
      <c r="Q949" s="52">
        <f>Lab[[#This Row],[qtySaldoAkhir2025]]*Lab[[#This Row],[hargaSatuan]]</f>
        <v>0</v>
      </c>
      <c r="S949" s="32">
        <f t="shared" si="28"/>
        <v>0</v>
      </c>
      <c r="T949" s="32">
        <f t="shared" si="29"/>
        <v>0</v>
      </c>
    </row>
    <row r="950" spans="1:20" ht="14.4" x14ac:dyDescent="0.3">
      <c r="A950" s="76">
        <v>133</v>
      </c>
      <c r="B950" s="45" t="s">
        <v>1140</v>
      </c>
      <c r="C950" s="46" t="s">
        <v>962</v>
      </c>
      <c r="D950" s="47" t="s">
        <v>1142</v>
      </c>
      <c r="E950" s="48" t="s">
        <v>982</v>
      </c>
      <c r="F950" s="49">
        <v>10120.427809961686</v>
      </c>
      <c r="G950" s="45" t="s">
        <v>36</v>
      </c>
      <c r="H950" s="50">
        <v>0</v>
      </c>
      <c r="I950" s="49">
        <f>Lab[[#This Row],[qtySaldoAwalSem1]]*Lab[[#This Row],[hargaSatuan]]</f>
        <v>0</v>
      </c>
      <c r="J950" s="50">
        <v>6525</v>
      </c>
      <c r="K950" s="51">
        <f>Lab[[#This Row],[qtyTerima2025]]*Lab[[#This Row],[hargaSatuan]]</f>
        <v>66035791.460000001</v>
      </c>
      <c r="L950" s="50">
        <v>6525</v>
      </c>
      <c r="M950" s="51">
        <f>Lab[[#This Row],[qtyDist2025]]*Lab[[#This Row],[hargaSatuan]]</f>
        <v>66035791.460000001</v>
      </c>
      <c r="N950" s="50">
        <v>0</v>
      </c>
      <c r="O950" s="51">
        <f>Lab[[#This Row],[qtyEd2025]]*Lab[[#This Row],[hargaSatuan]]</f>
        <v>0</v>
      </c>
      <c r="P950" s="50">
        <f>Lab[[#This Row],[qtySaldoAwalSem1]]+Lab[[#This Row],[qtyTerima2025]]-(Lab[[#This Row],[qtyDist2025]]+Lab[[#This Row],[qtyEd2025]])</f>
        <v>0</v>
      </c>
      <c r="Q950" s="52">
        <f>Lab[[#This Row],[qtySaldoAkhir2025]]*Lab[[#This Row],[hargaSatuan]]</f>
        <v>0</v>
      </c>
      <c r="S950" s="32">
        <f t="shared" si="28"/>
        <v>0</v>
      </c>
      <c r="T950" s="32">
        <f t="shared" si="29"/>
        <v>0</v>
      </c>
    </row>
    <row r="951" spans="1:20" ht="14.4" x14ac:dyDescent="0.3">
      <c r="A951" s="44">
        <v>134</v>
      </c>
      <c r="B951" s="45" t="s">
        <v>1140</v>
      </c>
      <c r="C951" s="46" t="s">
        <v>962</v>
      </c>
      <c r="D951" s="47" t="s">
        <v>1143</v>
      </c>
      <c r="E951" s="48">
        <v>46291</v>
      </c>
      <c r="F951" s="49">
        <v>10120.43</v>
      </c>
      <c r="G951" s="45" t="s">
        <v>36</v>
      </c>
      <c r="H951" s="50">
        <v>0</v>
      </c>
      <c r="I951" s="49">
        <f>Lab[[#This Row],[qtySaldoAwalSem1]]*Lab[[#This Row],[hargaSatuan]]</f>
        <v>0</v>
      </c>
      <c r="J951" s="50">
        <v>14025</v>
      </c>
      <c r="K951" s="51">
        <f>Lab[[#This Row],[qtyTerima2025]]*Lab[[#This Row],[hargaSatuan]]</f>
        <v>141939030.75</v>
      </c>
      <c r="L951" s="50">
        <v>14025</v>
      </c>
      <c r="M951" s="51">
        <f>Lab[[#This Row],[qtyDist2025]]*Lab[[#This Row],[hargaSatuan]]</f>
        <v>141939030.75</v>
      </c>
      <c r="N951" s="50">
        <v>0</v>
      </c>
      <c r="O951" s="51">
        <f>Lab[[#This Row],[qtyEd2025]]*Lab[[#This Row],[hargaSatuan]]</f>
        <v>0</v>
      </c>
      <c r="P951" s="50">
        <f>Lab[[#This Row],[qtySaldoAwalSem1]]+Lab[[#This Row],[qtyTerima2025]]-(Lab[[#This Row],[qtyDist2025]]+Lab[[#This Row],[qtyEd2025]])</f>
        <v>0</v>
      </c>
      <c r="Q951" s="52">
        <f>Lab[[#This Row],[qtySaldoAkhir2025]]*Lab[[#This Row],[hargaSatuan]]</f>
        <v>0</v>
      </c>
      <c r="S951" s="32">
        <f t="shared" si="28"/>
        <v>0</v>
      </c>
      <c r="T951" s="32">
        <f t="shared" si="29"/>
        <v>0</v>
      </c>
    </row>
    <row r="952" spans="1:20" ht="14.4" x14ac:dyDescent="0.3">
      <c r="A952" s="76">
        <v>135</v>
      </c>
      <c r="B952" s="45" t="s">
        <v>1140</v>
      </c>
      <c r="C952" s="46" t="s">
        <v>962</v>
      </c>
      <c r="D952" s="47">
        <v>1629</v>
      </c>
      <c r="E952" s="48">
        <v>46291</v>
      </c>
      <c r="F952" s="49">
        <v>10123.63636</v>
      </c>
      <c r="G952" s="45" t="s">
        <v>36</v>
      </c>
      <c r="H952" s="50">
        <v>0</v>
      </c>
      <c r="I952" s="49">
        <f>Lab[[#This Row],[qtySaldoAwalSem1]]*Lab[[#This Row],[hargaSatuan]]</f>
        <v>0</v>
      </c>
      <c r="J952" s="50">
        <v>8250</v>
      </c>
      <c r="K952" s="51">
        <f>Lab[[#This Row],[qtyTerima2025]]*Lab[[#This Row],[hargaSatuan]]</f>
        <v>83519999.969999999</v>
      </c>
      <c r="L952" s="50">
        <v>1000</v>
      </c>
      <c r="M952" s="51">
        <f>Lab[[#This Row],[qtyDist2025]]*Lab[[#This Row],[hargaSatuan]]</f>
        <v>10123636.360000001</v>
      </c>
      <c r="N952" s="50">
        <v>0</v>
      </c>
      <c r="O952" s="51">
        <f>Lab[[#This Row],[qtyEd2025]]*Lab[[#This Row],[hargaSatuan]]</f>
        <v>0</v>
      </c>
      <c r="P952" s="50">
        <f>Lab[[#This Row],[qtySaldoAwalSem1]]+Lab[[#This Row],[qtyTerima2025]]-(Lab[[#This Row],[qtyDist2025]]+Lab[[#This Row],[qtyEd2025]])</f>
        <v>7250</v>
      </c>
      <c r="Q952" s="52">
        <f>Lab[[#This Row],[qtySaldoAkhir2025]]*Lab[[#This Row],[hargaSatuan]]</f>
        <v>73396363.609999999</v>
      </c>
      <c r="S952" s="32">
        <f t="shared" si="28"/>
        <v>73396363.609999999</v>
      </c>
      <c r="T952" s="32">
        <f t="shared" si="29"/>
        <v>0</v>
      </c>
    </row>
    <row r="953" spans="1:20" ht="14.4" x14ac:dyDescent="0.3">
      <c r="A953" s="44">
        <v>136</v>
      </c>
      <c r="B953" s="45" t="s">
        <v>1140</v>
      </c>
      <c r="C953" s="46" t="s">
        <v>962</v>
      </c>
      <c r="D953" s="47">
        <v>1629</v>
      </c>
      <c r="E953" s="48">
        <v>46291</v>
      </c>
      <c r="F953" s="49">
        <v>10242.3241</v>
      </c>
      <c r="G953" s="45" t="s">
        <v>54</v>
      </c>
      <c r="H953" s="50">
        <v>0</v>
      </c>
      <c r="I953" s="49">
        <f>Lab[[#This Row],[qtySaldoAwalSem1]]*Lab[[#This Row],[hargaSatuan]]</f>
        <v>0</v>
      </c>
      <c r="J953" s="50">
        <v>1125</v>
      </c>
      <c r="K953" s="51">
        <f>Lab[[#This Row],[qtyTerima2025]]*Lab[[#This Row],[hargaSatuan]]</f>
        <v>11522614.612499999</v>
      </c>
      <c r="L953" s="50">
        <v>0</v>
      </c>
      <c r="M953" s="51">
        <f>Lab[[#This Row],[qtyDist2025]]*Lab[[#This Row],[hargaSatuan]]</f>
        <v>0</v>
      </c>
      <c r="N953" s="50">
        <v>0</v>
      </c>
      <c r="O953" s="51">
        <f>Lab[[#This Row],[qtyEd2025]]*Lab[[#This Row],[hargaSatuan]]</f>
        <v>0</v>
      </c>
      <c r="P953" s="50">
        <f>Lab[[#This Row],[qtySaldoAwalSem1]]+Lab[[#This Row],[qtyTerima2025]]-(Lab[[#This Row],[qtyDist2025]]+Lab[[#This Row],[qtyEd2025]])</f>
        <v>1125</v>
      </c>
      <c r="Q953" s="52">
        <f>Lab[[#This Row],[qtySaldoAkhir2025]]*Lab[[#This Row],[hargaSatuan]]</f>
        <v>11522614.612499999</v>
      </c>
      <c r="S953" s="32">
        <f t="shared" si="28"/>
        <v>11522614.612499999</v>
      </c>
      <c r="T953" s="32">
        <f t="shared" si="29"/>
        <v>0</v>
      </c>
    </row>
    <row r="954" spans="1:20" ht="14.4" x14ac:dyDescent="0.3">
      <c r="A954" s="76">
        <v>137</v>
      </c>
      <c r="B954" s="45" t="s">
        <v>1140</v>
      </c>
      <c r="C954" s="46" t="s">
        <v>962</v>
      </c>
      <c r="D954" s="47">
        <v>1649</v>
      </c>
      <c r="E954" s="48" t="s">
        <v>999</v>
      </c>
      <c r="F954" s="49">
        <v>10242.3241</v>
      </c>
      <c r="G954" s="45" t="s">
        <v>54</v>
      </c>
      <c r="H954" s="50">
        <v>0</v>
      </c>
      <c r="I954" s="49">
        <f>Lab[[#This Row],[qtySaldoAwalSem1]]*Lab[[#This Row],[hargaSatuan]]</f>
        <v>0</v>
      </c>
      <c r="J954" s="50">
        <v>3750</v>
      </c>
      <c r="K954" s="51">
        <f>Lab[[#This Row],[qtyTerima2025]]*Lab[[#This Row],[hargaSatuan]]</f>
        <v>38408715.375</v>
      </c>
      <c r="L954" s="50">
        <v>0</v>
      </c>
      <c r="M954" s="51">
        <f>Lab[[#This Row],[qtyDist2025]]*Lab[[#This Row],[hargaSatuan]]</f>
        <v>0</v>
      </c>
      <c r="N954" s="50">
        <v>0</v>
      </c>
      <c r="O954" s="51">
        <f>Lab[[#This Row],[qtyEd2025]]*Lab[[#This Row],[hargaSatuan]]</f>
        <v>0</v>
      </c>
      <c r="P954" s="50">
        <f>Lab[[#This Row],[qtySaldoAwalSem1]]+Lab[[#This Row],[qtyTerima2025]]-(Lab[[#This Row],[qtyDist2025]]+Lab[[#This Row],[qtyEd2025]])</f>
        <v>3750</v>
      </c>
      <c r="Q954" s="52">
        <f>Lab[[#This Row],[qtySaldoAkhir2025]]*Lab[[#This Row],[hargaSatuan]]</f>
        <v>38408715.375</v>
      </c>
      <c r="S954" s="32">
        <f t="shared" si="28"/>
        <v>38408715.375</v>
      </c>
      <c r="T954" s="32">
        <f t="shared" si="29"/>
        <v>0</v>
      </c>
    </row>
    <row r="955" spans="1:20" ht="14.4" x14ac:dyDescent="0.3">
      <c r="A955" s="44">
        <v>138</v>
      </c>
      <c r="B955" s="45" t="s">
        <v>1144</v>
      </c>
      <c r="C955" s="46" t="s">
        <v>962</v>
      </c>
      <c r="D955" s="47" t="s">
        <v>1145</v>
      </c>
      <c r="E955" s="48" t="s">
        <v>1034</v>
      </c>
      <c r="F955" s="49">
        <v>6216</v>
      </c>
      <c r="G955" s="45" t="s">
        <v>36</v>
      </c>
      <c r="H955" s="50">
        <v>0</v>
      </c>
      <c r="I955" s="49">
        <f>Lab[[#This Row],[qtySaldoAwalSem1]]*Lab[[#This Row],[hargaSatuan]]</f>
        <v>0</v>
      </c>
      <c r="J955" s="50">
        <v>1750</v>
      </c>
      <c r="K955" s="51">
        <f>Lab[[#This Row],[qtyTerima2025]]*Lab[[#This Row],[hargaSatuan]]</f>
        <v>10878000</v>
      </c>
      <c r="L955" s="94">
        <v>1750</v>
      </c>
      <c r="M955" s="51">
        <f>Lab[[#This Row],[qtyDist2025]]*Lab[[#This Row],[hargaSatuan]]</f>
        <v>10878000</v>
      </c>
      <c r="N955" s="50">
        <v>0</v>
      </c>
      <c r="O955" s="51">
        <f>Lab[[#This Row],[qtyEd2025]]*Lab[[#This Row],[hargaSatuan]]</f>
        <v>0</v>
      </c>
      <c r="P955" s="50">
        <f>Lab[[#This Row],[qtySaldoAwalSem1]]+Lab[[#This Row],[qtyTerima2025]]-(Lab[[#This Row],[qtyDist2025]]+Lab[[#This Row],[qtyEd2025]])</f>
        <v>0</v>
      </c>
      <c r="Q955" s="52">
        <f>Lab[[#This Row],[qtySaldoAkhir2025]]*Lab[[#This Row],[hargaSatuan]]</f>
        <v>0</v>
      </c>
      <c r="S955" s="32">
        <f t="shared" si="28"/>
        <v>0</v>
      </c>
      <c r="T955" s="32">
        <f t="shared" si="29"/>
        <v>0</v>
      </c>
    </row>
    <row r="956" spans="1:20" ht="14.4" x14ac:dyDescent="0.3">
      <c r="A956" s="76">
        <v>139</v>
      </c>
      <c r="B956" s="45" t="s">
        <v>1146</v>
      </c>
      <c r="C956" s="46" t="s">
        <v>752</v>
      </c>
      <c r="D956" s="47" t="s">
        <v>1147</v>
      </c>
      <c r="E956" s="48">
        <v>46351</v>
      </c>
      <c r="F956" s="49">
        <v>171154</v>
      </c>
      <c r="G956" s="45" t="s">
        <v>17</v>
      </c>
      <c r="H956" s="50">
        <v>68</v>
      </c>
      <c r="I956" s="49">
        <f>Lab[[#This Row],[qtySaldoAwalSem1]]*Lab[[#This Row],[hargaSatuan]]</f>
        <v>11638472</v>
      </c>
      <c r="J956" s="50">
        <v>0</v>
      </c>
      <c r="K956" s="51">
        <f>Lab[[#This Row],[qtyTerima2025]]*Lab[[#This Row],[hargaSatuan]]</f>
        <v>0</v>
      </c>
      <c r="L956" s="50">
        <v>45</v>
      </c>
      <c r="M956" s="51">
        <f>Lab[[#This Row],[qtyDist2025]]*Lab[[#This Row],[hargaSatuan]]</f>
        <v>7701930</v>
      </c>
      <c r="N956" s="50">
        <v>23</v>
      </c>
      <c r="O956" s="51">
        <f>Lab[[#This Row],[qtyEd2025]]*Lab[[#This Row],[hargaSatuan]]</f>
        <v>3936542</v>
      </c>
      <c r="P956" s="50">
        <f>Lab[[#This Row],[qtySaldoAwalSem1]]+Lab[[#This Row],[qtyTerima2025]]-(Lab[[#This Row],[qtyDist2025]]+Lab[[#This Row],[qtyEd2025]])</f>
        <v>0</v>
      </c>
      <c r="Q956" s="52">
        <f>Lab[[#This Row],[qtySaldoAkhir2025]]*Lab[[#This Row],[hargaSatuan]]</f>
        <v>0</v>
      </c>
      <c r="S956" s="32">
        <f t="shared" si="28"/>
        <v>0</v>
      </c>
      <c r="T956" s="32">
        <f t="shared" si="29"/>
        <v>0</v>
      </c>
    </row>
    <row r="957" spans="1:20" ht="14.4" x14ac:dyDescent="0.3">
      <c r="A957" s="44">
        <v>140</v>
      </c>
      <c r="B957" s="45" t="s">
        <v>1146</v>
      </c>
      <c r="C957" s="46" t="s">
        <v>752</v>
      </c>
      <c r="D957" s="47" t="s">
        <v>1148</v>
      </c>
      <c r="E957" s="48">
        <v>46199</v>
      </c>
      <c r="F957" s="49">
        <v>138919.28571428571</v>
      </c>
      <c r="G957" s="45" t="s">
        <v>54</v>
      </c>
      <c r="H957" s="50">
        <v>28</v>
      </c>
      <c r="I957" s="49">
        <f>Lab[[#This Row],[qtySaldoAwalSem1]]*Lab[[#This Row],[hargaSatuan]]</f>
        <v>3889740</v>
      </c>
      <c r="J957" s="50">
        <v>0</v>
      </c>
      <c r="K957" s="51">
        <f>Lab[[#This Row],[qtyTerima2025]]*Lab[[#This Row],[hargaSatuan]]</f>
        <v>0</v>
      </c>
      <c r="L957" s="50">
        <v>11</v>
      </c>
      <c r="M957" s="51">
        <f>Lab[[#This Row],[qtyDist2025]]*Lab[[#This Row],[hargaSatuan]]</f>
        <v>1528112.1428571427</v>
      </c>
      <c r="N957" s="50">
        <v>0</v>
      </c>
      <c r="O957" s="51">
        <f>Lab[[#This Row],[qtyEd2025]]*Lab[[#This Row],[hargaSatuan]]</f>
        <v>0</v>
      </c>
      <c r="P957" s="50">
        <f>Lab[[#This Row],[qtySaldoAwalSem1]]+Lab[[#This Row],[qtyTerima2025]]-(Lab[[#This Row],[qtyDist2025]]+Lab[[#This Row],[qtyEd2025]])</f>
        <v>17</v>
      </c>
      <c r="Q957" s="52">
        <f>Lab[[#This Row],[qtySaldoAkhir2025]]*Lab[[#This Row],[hargaSatuan]]</f>
        <v>2361627.8571428573</v>
      </c>
      <c r="S957" s="32">
        <f t="shared" si="28"/>
        <v>2361627.8571428573</v>
      </c>
      <c r="T957" s="32">
        <f t="shared" si="29"/>
        <v>0</v>
      </c>
    </row>
    <row r="958" spans="1:20" ht="14.4" x14ac:dyDescent="0.3">
      <c r="A958" s="76">
        <v>141</v>
      </c>
      <c r="B958" s="45" t="s">
        <v>1149</v>
      </c>
      <c r="C958" s="46" t="s">
        <v>752</v>
      </c>
      <c r="D958" s="47">
        <v>4082388</v>
      </c>
      <c r="E958" s="48" t="s">
        <v>1150</v>
      </c>
      <c r="F958" s="49">
        <v>99.331692307692308</v>
      </c>
      <c r="G958" s="45" t="s">
        <v>54</v>
      </c>
      <c r="H958" s="50">
        <v>2000</v>
      </c>
      <c r="I958" s="49">
        <f>Lab[[#This Row],[qtySaldoAwalSem1]]*Lab[[#This Row],[hargaSatuan]]</f>
        <v>198663.38461538462</v>
      </c>
      <c r="J958" s="50">
        <v>0</v>
      </c>
      <c r="K958" s="51">
        <f>Lab[[#This Row],[qtyTerima2025]]*Lab[[#This Row],[hargaSatuan]]</f>
        <v>0</v>
      </c>
      <c r="L958" s="50">
        <v>1050</v>
      </c>
      <c r="M958" s="51">
        <f>Lab[[#This Row],[qtyDist2025]]*Lab[[#This Row],[hargaSatuan]]</f>
        <v>104298.27692307692</v>
      </c>
      <c r="N958" s="50">
        <v>0</v>
      </c>
      <c r="O958" s="51">
        <f>Lab[[#This Row],[qtyEd2025]]*Lab[[#This Row],[hargaSatuan]]</f>
        <v>0</v>
      </c>
      <c r="P958" s="50">
        <f>Lab[[#This Row],[qtySaldoAwalSem1]]+Lab[[#This Row],[qtyTerima2025]]-(Lab[[#This Row],[qtyDist2025]]+Lab[[#This Row],[qtyEd2025]])</f>
        <v>950</v>
      </c>
      <c r="Q958" s="52">
        <f>Lab[[#This Row],[qtySaldoAkhir2025]]*Lab[[#This Row],[hargaSatuan]]</f>
        <v>94365.107692307691</v>
      </c>
      <c r="S958" s="32">
        <f t="shared" si="28"/>
        <v>94365.107692307705</v>
      </c>
      <c r="T958" s="32">
        <f t="shared" si="29"/>
        <v>-1.4551915228366852E-11</v>
      </c>
    </row>
    <row r="959" spans="1:20" ht="14.4" x14ac:dyDescent="0.3">
      <c r="A959" s="44">
        <v>142</v>
      </c>
      <c r="B959" s="45" t="s">
        <v>1151</v>
      </c>
      <c r="C959" s="46" t="s">
        <v>752</v>
      </c>
      <c r="D959" s="47">
        <v>28042388</v>
      </c>
      <c r="E959" s="48">
        <v>46140</v>
      </c>
      <c r="F959" s="49">
        <v>38.869428571428571</v>
      </c>
      <c r="G959" s="45" t="s">
        <v>54</v>
      </c>
      <c r="H959" s="50">
        <v>14000</v>
      </c>
      <c r="I959" s="49">
        <f>Lab[[#This Row],[qtySaldoAwalSem1]]*Lab[[#This Row],[hargaSatuan]]</f>
        <v>544172</v>
      </c>
      <c r="J959" s="50">
        <v>0</v>
      </c>
      <c r="K959" s="51">
        <f>Lab[[#This Row],[qtyTerima2025]]*Lab[[#This Row],[hargaSatuan]]</f>
        <v>0</v>
      </c>
      <c r="L959" s="50">
        <v>3250</v>
      </c>
      <c r="M959" s="51">
        <f>Lab[[#This Row],[qtyDist2025]]*Lab[[#This Row],[hargaSatuan]]</f>
        <v>126325.64285714286</v>
      </c>
      <c r="N959" s="50">
        <v>0</v>
      </c>
      <c r="O959" s="51">
        <f>Lab[[#This Row],[qtyEd2025]]*Lab[[#This Row],[hargaSatuan]]</f>
        <v>0</v>
      </c>
      <c r="P959" s="50">
        <f>Lab[[#This Row],[qtySaldoAwalSem1]]+Lab[[#This Row],[qtyTerima2025]]-(Lab[[#This Row],[qtyDist2025]]+Lab[[#This Row],[qtyEd2025]])</f>
        <v>10750</v>
      </c>
      <c r="Q959" s="52">
        <f>Lab[[#This Row],[qtySaldoAkhir2025]]*Lab[[#This Row],[hargaSatuan]]</f>
        <v>417846.35714285716</v>
      </c>
      <c r="S959" s="32">
        <f t="shared" si="28"/>
        <v>417846.35714285716</v>
      </c>
      <c r="T959" s="32">
        <f t="shared" si="29"/>
        <v>0</v>
      </c>
    </row>
    <row r="960" spans="1:20" ht="14.4" x14ac:dyDescent="0.3">
      <c r="A960" s="76">
        <v>143</v>
      </c>
      <c r="B960" s="45" t="s">
        <v>1151</v>
      </c>
      <c r="C960" s="46" t="s">
        <v>752</v>
      </c>
      <c r="D960" s="47">
        <v>23092088</v>
      </c>
      <c r="E960" s="48">
        <v>46290</v>
      </c>
      <c r="F960" s="49">
        <v>285</v>
      </c>
      <c r="G960" s="45" t="s">
        <v>17</v>
      </c>
      <c r="H960" s="50">
        <v>500</v>
      </c>
      <c r="I960" s="49">
        <f>Lab[[#This Row],[qtySaldoAwalSem1]]*Lab[[#This Row],[hargaSatuan]]</f>
        <v>142500</v>
      </c>
      <c r="J960" s="50">
        <v>0</v>
      </c>
      <c r="K960" s="51">
        <f>Lab[[#This Row],[qtyTerima2025]]*Lab[[#This Row],[hargaSatuan]]</f>
        <v>0</v>
      </c>
      <c r="L960" s="50">
        <v>500</v>
      </c>
      <c r="M960" s="51">
        <f>Lab[[#This Row],[qtyDist2025]]*Lab[[#This Row],[hargaSatuan]]</f>
        <v>142500</v>
      </c>
      <c r="N960" s="50">
        <v>0</v>
      </c>
      <c r="O960" s="51">
        <f>Lab[[#This Row],[qtyEd2025]]*Lab[[#This Row],[hargaSatuan]]</f>
        <v>0</v>
      </c>
      <c r="P960" s="50">
        <f>Lab[[#This Row],[qtySaldoAwalSem1]]+Lab[[#This Row],[qtyTerima2025]]-(Lab[[#This Row],[qtyDist2025]]+Lab[[#This Row],[qtyEd2025]])</f>
        <v>0</v>
      </c>
      <c r="Q960" s="52">
        <f>Lab[[#This Row],[qtySaldoAkhir2025]]*Lab[[#This Row],[hargaSatuan]]</f>
        <v>0</v>
      </c>
      <c r="S960" s="32">
        <f t="shared" si="28"/>
        <v>0</v>
      </c>
      <c r="T960" s="32">
        <f t="shared" si="29"/>
        <v>0</v>
      </c>
    </row>
    <row r="961" spans="1:20" ht="14.4" x14ac:dyDescent="0.3">
      <c r="A961" s="44">
        <v>144</v>
      </c>
      <c r="B961" s="45" t="s">
        <v>1152</v>
      </c>
      <c r="C961" s="46" t="s">
        <v>752</v>
      </c>
      <c r="D961" s="47">
        <v>22012488</v>
      </c>
      <c r="E961" s="48">
        <v>46354</v>
      </c>
      <c r="F961" s="49">
        <v>39.32</v>
      </c>
      <c r="G961" s="45" t="s">
        <v>17</v>
      </c>
      <c r="H961" s="50">
        <v>35000</v>
      </c>
      <c r="I961" s="49">
        <f>Lab[[#This Row],[qtySaldoAwalSem1]]*Lab[[#This Row],[hargaSatuan]]</f>
        <v>1376200</v>
      </c>
      <c r="J961" s="50">
        <v>0</v>
      </c>
      <c r="K961" s="51">
        <f>Lab[[#This Row],[qtyTerima2025]]*Lab[[#This Row],[hargaSatuan]]</f>
        <v>0</v>
      </c>
      <c r="L961" s="50">
        <v>1000</v>
      </c>
      <c r="M961" s="51">
        <f>Lab[[#This Row],[qtyDist2025]]*Lab[[#This Row],[hargaSatuan]]</f>
        <v>39320</v>
      </c>
      <c r="N961" s="50">
        <v>0</v>
      </c>
      <c r="O961" s="51">
        <f>Lab[[#This Row],[qtyEd2025]]*Lab[[#This Row],[hargaSatuan]]</f>
        <v>0</v>
      </c>
      <c r="P961" s="50">
        <f>Lab[[#This Row],[qtySaldoAwalSem1]]+Lab[[#This Row],[qtyTerima2025]]-(Lab[[#This Row],[qtyDist2025]]+Lab[[#This Row],[qtyEd2025]])</f>
        <v>34000</v>
      </c>
      <c r="Q961" s="52">
        <f>Lab[[#This Row],[qtySaldoAkhir2025]]*Lab[[#This Row],[hargaSatuan]]</f>
        <v>1336880</v>
      </c>
      <c r="S961" s="32">
        <f t="shared" si="28"/>
        <v>1336880</v>
      </c>
      <c r="T961" s="32">
        <f t="shared" si="29"/>
        <v>0</v>
      </c>
    </row>
    <row r="962" spans="1:20" ht="14.4" x14ac:dyDescent="0.3">
      <c r="A962" s="110">
        <v>145</v>
      </c>
      <c r="B962" s="60" t="s">
        <v>1153</v>
      </c>
      <c r="C962" s="61" t="s">
        <v>752</v>
      </c>
      <c r="D962" s="62" t="s">
        <v>886</v>
      </c>
      <c r="E962" s="63">
        <v>46050</v>
      </c>
      <c r="F962" s="64">
        <v>902</v>
      </c>
      <c r="G962" s="60" t="s">
        <v>40</v>
      </c>
      <c r="H962" s="65">
        <v>11</v>
      </c>
      <c r="I962" s="49">
        <f>Lab[[#This Row],[qtySaldoAwalSem1]]*Lab[[#This Row],[hargaSatuan]]</f>
        <v>9922</v>
      </c>
      <c r="J962" s="65">
        <v>0</v>
      </c>
      <c r="K962" s="51">
        <f>Lab[[#This Row],[qtyTerima2025]]*Lab[[#This Row],[hargaSatuan]]</f>
        <v>0</v>
      </c>
      <c r="L962" s="65">
        <v>11</v>
      </c>
      <c r="M962" s="51">
        <f>Lab[[#This Row],[qtyDist2025]]*Lab[[#This Row],[hargaSatuan]]</f>
        <v>9922</v>
      </c>
      <c r="N962" s="65">
        <v>0</v>
      </c>
      <c r="O962" s="51">
        <f>Lab[[#This Row],[qtyEd2025]]*Lab[[#This Row],[hargaSatuan]]</f>
        <v>0</v>
      </c>
      <c r="P962" s="50">
        <f>Lab[[#This Row],[qtySaldoAwalSem1]]+Lab[[#This Row],[qtyTerima2025]]-(Lab[[#This Row],[qtyDist2025]]+Lab[[#This Row],[qtyEd2025]])</f>
        <v>0</v>
      </c>
      <c r="Q962" s="52">
        <f>Lab[[#This Row],[qtySaldoAkhir2025]]*Lab[[#This Row],[hargaSatuan]]</f>
        <v>0</v>
      </c>
      <c r="S962" s="32">
        <f t="shared" si="28"/>
        <v>0</v>
      </c>
      <c r="T962" s="32">
        <f t="shared" si="29"/>
        <v>0</v>
      </c>
    </row>
    <row r="963" spans="1:20" ht="14.4" x14ac:dyDescent="0.3">
      <c r="A963" s="83"/>
      <c r="B963" s="27" t="s">
        <v>1154</v>
      </c>
      <c r="C963" s="26"/>
      <c r="D963" s="28"/>
      <c r="E963" s="29"/>
      <c r="F963" s="30"/>
      <c r="G963" s="27"/>
      <c r="H963" s="31"/>
      <c r="I963" s="30">
        <f>SUBTOTAL(9,Gigi[nomSaldoAwalSem1])</f>
        <v>112233835.22421569</v>
      </c>
      <c r="J963" s="30"/>
      <c r="K963" s="30">
        <f>SUBTOTAL(9,Gigi[nomTerima2025])</f>
        <v>269925773.22999996</v>
      </c>
      <c r="L963" s="30"/>
      <c r="M963" s="30">
        <f>SUBTOTAL(9,Gigi[nomDist2025])</f>
        <v>204157129.5</v>
      </c>
      <c r="N963" s="30"/>
      <c r="O963" s="30">
        <f>SUBTOTAL(9,Gigi[nomEd2025])</f>
        <v>4110001.78</v>
      </c>
      <c r="P963" s="30"/>
      <c r="Q963" s="30">
        <f>SUBTOTAL(9,Gigi[nomSaldoAkhir2025])</f>
        <v>173892477.20999998</v>
      </c>
      <c r="S963" s="32">
        <f t="shared" si="28"/>
        <v>173892477.17421564</v>
      </c>
      <c r="T963" s="32">
        <f t="shared" si="29"/>
        <v>3.5784333944320679E-2</v>
      </c>
    </row>
    <row r="964" spans="1:20" ht="14.4" x14ac:dyDescent="0.3">
      <c r="A964" s="35" t="s">
        <v>19</v>
      </c>
      <c r="B964" s="36" t="s">
        <v>20</v>
      </c>
      <c r="C964" s="37" t="s">
        <v>21</v>
      </c>
      <c r="D964" s="38" t="s">
        <v>22</v>
      </c>
      <c r="E964" s="39" t="s">
        <v>23</v>
      </c>
      <c r="F964" s="40" t="s">
        <v>24</v>
      </c>
      <c r="G964" s="36" t="s">
        <v>25</v>
      </c>
      <c r="H964" s="41" t="s">
        <v>26</v>
      </c>
      <c r="I964" s="40" t="s">
        <v>27</v>
      </c>
      <c r="J964" s="41" t="s">
        <v>28</v>
      </c>
      <c r="K964" s="66" t="s">
        <v>29</v>
      </c>
      <c r="L964" s="41" t="s">
        <v>30</v>
      </c>
      <c r="M964" s="66" t="s">
        <v>31</v>
      </c>
      <c r="N964" s="41" t="s">
        <v>32</v>
      </c>
      <c r="O964" s="66" t="s">
        <v>33</v>
      </c>
      <c r="P964" s="41" t="s">
        <v>34</v>
      </c>
      <c r="Q964" s="67" t="s">
        <v>35</v>
      </c>
      <c r="S964" s="32">
        <f t="shared" si="28"/>
        <v>0</v>
      </c>
      <c r="T964" s="32">
        <f t="shared" si="29"/>
        <v>0</v>
      </c>
    </row>
    <row r="965" spans="1:20" ht="14.4" x14ac:dyDescent="0.3">
      <c r="A965" s="44">
        <v>1</v>
      </c>
      <c r="B965" s="45" t="s">
        <v>1155</v>
      </c>
      <c r="C965" s="46" t="s">
        <v>1156</v>
      </c>
      <c r="D965" s="47">
        <v>12172726</v>
      </c>
      <c r="E965" s="48">
        <v>46844</v>
      </c>
      <c r="F965" s="49">
        <v>509094.74</v>
      </c>
      <c r="G965" s="45" t="s">
        <v>36</v>
      </c>
      <c r="H965" s="50">
        <v>0</v>
      </c>
      <c r="I965" s="49">
        <v>0</v>
      </c>
      <c r="J965" s="50">
        <v>19</v>
      </c>
      <c r="K965" s="51">
        <v>9672800.0600000005</v>
      </c>
      <c r="L965" s="50">
        <v>19</v>
      </c>
      <c r="M965" s="51">
        <v>9672800.0600000005</v>
      </c>
      <c r="N965" s="50">
        <v>0</v>
      </c>
      <c r="O965" s="51">
        <v>0</v>
      </c>
      <c r="P965" s="50">
        <v>0</v>
      </c>
      <c r="Q965" s="52">
        <v>0</v>
      </c>
      <c r="S965" s="32">
        <f t="shared" si="28"/>
        <v>0</v>
      </c>
      <c r="T965" s="32">
        <f t="shared" si="29"/>
        <v>0</v>
      </c>
    </row>
    <row r="966" spans="1:20" ht="14.4" x14ac:dyDescent="0.3">
      <c r="A966" s="44">
        <v>2</v>
      </c>
      <c r="B966" s="45" t="s">
        <v>1155</v>
      </c>
      <c r="C966" s="46" t="s">
        <v>1156</v>
      </c>
      <c r="D966" s="47">
        <v>12382640</v>
      </c>
      <c r="E966" s="48">
        <v>46874</v>
      </c>
      <c r="F966" s="49">
        <v>520337.33</v>
      </c>
      <c r="G966" s="45" t="s">
        <v>36</v>
      </c>
      <c r="H966" s="50">
        <v>0</v>
      </c>
      <c r="I966" s="49">
        <v>0</v>
      </c>
      <c r="J966" s="50">
        <v>15</v>
      </c>
      <c r="K966" s="51">
        <v>7805059.9500000002</v>
      </c>
      <c r="L966" s="50">
        <v>0</v>
      </c>
      <c r="M966" s="51">
        <v>0</v>
      </c>
      <c r="N966" s="50">
        <v>0</v>
      </c>
      <c r="O966" s="51">
        <v>0</v>
      </c>
      <c r="P966" s="50">
        <v>15</v>
      </c>
      <c r="Q966" s="52">
        <v>7805059.9500000002</v>
      </c>
      <c r="S966" s="32">
        <f t="shared" si="28"/>
        <v>7805059.9500000002</v>
      </c>
      <c r="T966" s="32">
        <f t="shared" si="29"/>
        <v>0</v>
      </c>
    </row>
    <row r="967" spans="1:20" ht="14.4" x14ac:dyDescent="0.3">
      <c r="A967" s="44">
        <v>3</v>
      </c>
      <c r="B967" s="45" t="s">
        <v>1157</v>
      </c>
      <c r="C967" s="46" t="s">
        <v>1156</v>
      </c>
      <c r="D967" s="47">
        <v>11677152</v>
      </c>
      <c r="E967" s="48">
        <v>46722</v>
      </c>
      <c r="F967" s="49">
        <v>510575</v>
      </c>
      <c r="G967" s="45" t="s">
        <v>36</v>
      </c>
      <c r="H967" s="50">
        <v>0</v>
      </c>
      <c r="I967" s="49">
        <v>0</v>
      </c>
      <c r="J967" s="50">
        <v>16</v>
      </c>
      <c r="K967" s="51">
        <v>8169200</v>
      </c>
      <c r="L967" s="50">
        <v>16</v>
      </c>
      <c r="M967" s="51">
        <v>8169200</v>
      </c>
      <c r="N967" s="50">
        <v>0</v>
      </c>
      <c r="O967" s="51">
        <v>0</v>
      </c>
      <c r="P967" s="50">
        <v>0</v>
      </c>
      <c r="Q967" s="52">
        <v>0</v>
      </c>
      <c r="S967" s="32">
        <f t="shared" si="28"/>
        <v>0</v>
      </c>
      <c r="T967" s="32">
        <f t="shared" si="29"/>
        <v>0</v>
      </c>
    </row>
    <row r="968" spans="1:20" ht="14.4" x14ac:dyDescent="0.3">
      <c r="A968" s="44">
        <v>4</v>
      </c>
      <c r="B968" s="45" t="s">
        <v>1157</v>
      </c>
      <c r="C968" s="46" t="s">
        <v>1156</v>
      </c>
      <c r="D968" s="47">
        <v>12077884</v>
      </c>
      <c r="E968" s="48">
        <v>46753</v>
      </c>
      <c r="F968" s="49">
        <v>520337.33</v>
      </c>
      <c r="G968" s="45" t="s">
        <v>36</v>
      </c>
      <c r="H968" s="50">
        <v>0</v>
      </c>
      <c r="I968" s="49">
        <v>0</v>
      </c>
      <c r="J968" s="50">
        <v>15</v>
      </c>
      <c r="K968" s="51">
        <v>7805059.9500000002</v>
      </c>
      <c r="L968" s="50">
        <v>0</v>
      </c>
      <c r="M968" s="51">
        <v>0</v>
      </c>
      <c r="N968" s="50">
        <v>0</v>
      </c>
      <c r="O968" s="51">
        <v>0</v>
      </c>
      <c r="P968" s="50">
        <v>15</v>
      </c>
      <c r="Q968" s="52">
        <v>7805059.9500000002</v>
      </c>
      <c r="S968" s="32">
        <f t="shared" si="28"/>
        <v>7805059.9500000002</v>
      </c>
      <c r="T968" s="32">
        <f t="shared" si="29"/>
        <v>0</v>
      </c>
    </row>
    <row r="969" spans="1:20" ht="14.4" x14ac:dyDescent="0.3">
      <c r="A969" s="44">
        <v>5</v>
      </c>
      <c r="B969" s="45" t="s">
        <v>1158</v>
      </c>
      <c r="C969" s="46" t="s">
        <v>1156</v>
      </c>
      <c r="D969" s="47">
        <v>12104325</v>
      </c>
      <c r="E969" s="48">
        <v>46813</v>
      </c>
      <c r="F969" s="49">
        <v>510575</v>
      </c>
      <c r="G969" s="45" t="s">
        <v>36</v>
      </c>
      <c r="H969" s="50">
        <v>0</v>
      </c>
      <c r="I969" s="49">
        <v>0</v>
      </c>
      <c r="J969" s="50">
        <v>16</v>
      </c>
      <c r="K969" s="51">
        <v>8169200</v>
      </c>
      <c r="L969" s="50">
        <v>16</v>
      </c>
      <c r="M969" s="51">
        <v>8169200</v>
      </c>
      <c r="N969" s="50">
        <v>0</v>
      </c>
      <c r="O969" s="51">
        <v>0</v>
      </c>
      <c r="P969" s="50">
        <v>0</v>
      </c>
      <c r="Q969" s="52">
        <v>0</v>
      </c>
      <c r="S969" s="32">
        <f t="shared" ref="S969:S1008" si="30">IFERROR(I969+K969-(M969+O969),0)</f>
        <v>0</v>
      </c>
      <c r="T969" s="32">
        <f t="shared" ref="T969:T1008" si="31">IFERROR(Q969-S969,0)</f>
        <v>0</v>
      </c>
    </row>
    <row r="970" spans="1:20" ht="14.4" x14ac:dyDescent="0.3">
      <c r="A970" s="44">
        <v>6</v>
      </c>
      <c r="B970" s="45" t="s">
        <v>1158</v>
      </c>
      <c r="C970" s="46" t="s">
        <v>1156</v>
      </c>
      <c r="D970" s="47">
        <v>12104325</v>
      </c>
      <c r="E970" s="48">
        <v>46813</v>
      </c>
      <c r="F970" s="49">
        <v>520337.33</v>
      </c>
      <c r="G970" s="45" t="s">
        <v>36</v>
      </c>
      <c r="H970" s="50">
        <v>0</v>
      </c>
      <c r="I970" s="49">
        <v>0</v>
      </c>
      <c r="J970" s="50">
        <v>15</v>
      </c>
      <c r="K970" s="51">
        <v>7805059.9500000002</v>
      </c>
      <c r="L970" s="50">
        <v>0</v>
      </c>
      <c r="M970" s="51">
        <v>0</v>
      </c>
      <c r="N970" s="50">
        <v>0</v>
      </c>
      <c r="O970" s="51">
        <v>0</v>
      </c>
      <c r="P970" s="50">
        <v>15</v>
      </c>
      <c r="Q970" s="52">
        <v>7805059.9500000002</v>
      </c>
      <c r="S970" s="32">
        <f t="shared" si="30"/>
        <v>7805059.9500000002</v>
      </c>
      <c r="T970" s="32">
        <f t="shared" si="31"/>
        <v>0</v>
      </c>
    </row>
    <row r="971" spans="1:20" ht="14.4" x14ac:dyDescent="0.3">
      <c r="A971" s="44">
        <v>7</v>
      </c>
      <c r="B971" s="45" t="s">
        <v>1159</v>
      </c>
      <c r="C971" s="46" t="s">
        <v>38</v>
      </c>
      <c r="D971" s="47" t="s">
        <v>1160</v>
      </c>
      <c r="E971" s="48">
        <v>46327</v>
      </c>
      <c r="F971" s="49">
        <v>315800</v>
      </c>
      <c r="G971" s="45" t="s">
        <v>17</v>
      </c>
      <c r="H971" s="50">
        <v>6</v>
      </c>
      <c r="I971" s="49">
        <f>Gigi[[#This Row],[qtySaldoAwalSem1]]*Gigi[[#This Row],[hargaSatuan]]</f>
        <v>1894800</v>
      </c>
      <c r="J971" s="50">
        <v>0</v>
      </c>
      <c r="K971" s="51">
        <v>0</v>
      </c>
      <c r="L971" s="50">
        <v>6</v>
      </c>
      <c r="M971" s="51">
        <v>1894800</v>
      </c>
      <c r="N971" s="50">
        <v>0</v>
      </c>
      <c r="O971" s="51">
        <v>0</v>
      </c>
      <c r="P971" s="50">
        <v>0</v>
      </c>
      <c r="Q971" s="52">
        <v>0</v>
      </c>
      <c r="S971" s="32">
        <f t="shared" si="30"/>
        <v>0</v>
      </c>
      <c r="T971" s="32">
        <f t="shared" si="31"/>
        <v>0</v>
      </c>
    </row>
    <row r="972" spans="1:20" ht="14.4" x14ac:dyDescent="0.3">
      <c r="A972" s="44">
        <v>8</v>
      </c>
      <c r="B972" s="45" t="s">
        <v>1161</v>
      </c>
      <c r="C972" s="46" t="s">
        <v>1156</v>
      </c>
      <c r="D972" s="47" t="s">
        <v>1162</v>
      </c>
      <c r="E972" s="48">
        <v>46874</v>
      </c>
      <c r="F972" s="49">
        <v>108189.13</v>
      </c>
      <c r="G972" s="45" t="s">
        <v>36</v>
      </c>
      <c r="H972" s="50">
        <v>0</v>
      </c>
      <c r="I972" s="49">
        <v>0</v>
      </c>
      <c r="J972" s="50">
        <v>23</v>
      </c>
      <c r="K972" s="51">
        <v>2488349.9900000002</v>
      </c>
      <c r="L972" s="50">
        <v>12</v>
      </c>
      <c r="M972" s="51">
        <v>1298269.56</v>
      </c>
      <c r="N972" s="50">
        <v>0</v>
      </c>
      <c r="O972" s="51">
        <v>0</v>
      </c>
      <c r="P972" s="50">
        <v>11</v>
      </c>
      <c r="Q972" s="52">
        <v>1190080.4300000002</v>
      </c>
      <c r="S972" s="32">
        <f t="shared" si="30"/>
        <v>1190080.4300000002</v>
      </c>
      <c r="T972" s="32">
        <f t="shared" si="31"/>
        <v>0</v>
      </c>
    </row>
    <row r="973" spans="1:20" ht="14.4" x14ac:dyDescent="0.3">
      <c r="A973" s="44">
        <v>9</v>
      </c>
      <c r="B973" s="45" t="s">
        <v>1163</v>
      </c>
      <c r="C973" s="46" t="s">
        <v>38</v>
      </c>
      <c r="D973" s="47" t="s">
        <v>1164</v>
      </c>
      <c r="E973" s="48">
        <v>46327</v>
      </c>
      <c r="F973" s="49">
        <v>69933.333333333299</v>
      </c>
      <c r="G973" s="45" t="s">
        <v>17</v>
      </c>
      <c r="H973" s="50">
        <v>5</v>
      </c>
      <c r="I973" s="49">
        <f>Gigi[[#This Row],[qtySaldoAwalSem1]]*Gigi[[#This Row],[hargaSatuan]]</f>
        <v>349666.66666666651</v>
      </c>
      <c r="J973" s="50">
        <v>0</v>
      </c>
      <c r="K973" s="51">
        <v>0</v>
      </c>
      <c r="L973" s="50">
        <v>5</v>
      </c>
      <c r="M973" s="51">
        <v>349666.65</v>
      </c>
      <c r="N973" s="50">
        <v>0</v>
      </c>
      <c r="O973" s="51">
        <v>0</v>
      </c>
      <c r="P973" s="50">
        <v>0</v>
      </c>
      <c r="Q973" s="52">
        <v>0</v>
      </c>
      <c r="S973" s="32">
        <f t="shared" si="30"/>
        <v>1.6666666488163173E-2</v>
      </c>
      <c r="T973" s="32">
        <f t="shared" si="31"/>
        <v>-1.6666666488163173E-2</v>
      </c>
    </row>
    <row r="974" spans="1:20" ht="14.4" x14ac:dyDescent="0.3">
      <c r="A974" s="44">
        <v>10</v>
      </c>
      <c r="B974" s="45" t="s">
        <v>1165</v>
      </c>
      <c r="C974" s="46" t="s">
        <v>349</v>
      </c>
      <c r="D974" s="47" t="s">
        <v>1166</v>
      </c>
      <c r="E974" s="48">
        <v>46539</v>
      </c>
      <c r="F974" s="49">
        <v>70547.37</v>
      </c>
      <c r="G974" s="45" t="s">
        <v>36</v>
      </c>
      <c r="H974" s="50">
        <v>0</v>
      </c>
      <c r="I974" s="49">
        <v>0</v>
      </c>
      <c r="J974" s="50">
        <v>19</v>
      </c>
      <c r="K974" s="51">
        <v>1340400.0299999998</v>
      </c>
      <c r="L974" s="50">
        <v>12</v>
      </c>
      <c r="M974" s="51">
        <v>846568.44</v>
      </c>
      <c r="N974" s="50">
        <v>0</v>
      </c>
      <c r="O974" s="51">
        <v>0</v>
      </c>
      <c r="P974" s="50">
        <v>7</v>
      </c>
      <c r="Q974" s="52">
        <v>493831.58999999997</v>
      </c>
      <c r="S974" s="32">
        <f t="shared" si="30"/>
        <v>493831.58999999985</v>
      </c>
      <c r="T974" s="32">
        <f t="shared" si="31"/>
        <v>1.1641532182693481E-10</v>
      </c>
    </row>
    <row r="975" spans="1:20" ht="14.4" x14ac:dyDescent="0.3">
      <c r="A975" s="44">
        <v>11</v>
      </c>
      <c r="B975" s="45" t="s">
        <v>1165</v>
      </c>
      <c r="C975" s="46" t="s">
        <v>349</v>
      </c>
      <c r="D975" s="47" t="s">
        <v>1166</v>
      </c>
      <c r="E975" s="48">
        <v>46539</v>
      </c>
      <c r="F975" s="49">
        <v>85737.93</v>
      </c>
      <c r="G975" s="45" t="s">
        <v>36</v>
      </c>
      <c r="H975" s="50">
        <v>0</v>
      </c>
      <c r="I975" s="49">
        <v>0</v>
      </c>
      <c r="J975" s="50">
        <v>14</v>
      </c>
      <c r="K975" s="51">
        <v>1200331.02</v>
      </c>
      <c r="L975" s="50">
        <v>0</v>
      </c>
      <c r="M975" s="51">
        <v>0</v>
      </c>
      <c r="N975" s="50">
        <v>0</v>
      </c>
      <c r="O975" s="51">
        <v>0</v>
      </c>
      <c r="P975" s="50">
        <v>14</v>
      </c>
      <c r="Q975" s="52">
        <v>1200331.02</v>
      </c>
      <c r="S975" s="32">
        <f t="shared" si="30"/>
        <v>1200331.02</v>
      </c>
      <c r="T975" s="32">
        <f t="shared" si="31"/>
        <v>0</v>
      </c>
    </row>
    <row r="976" spans="1:20" ht="14.4" x14ac:dyDescent="0.3">
      <c r="A976" s="44">
        <v>12</v>
      </c>
      <c r="B976" s="45" t="s">
        <v>1167</v>
      </c>
      <c r="C976" s="46" t="s">
        <v>533</v>
      </c>
      <c r="D976" s="47" t="s">
        <v>1168</v>
      </c>
      <c r="E976" s="48">
        <v>46753</v>
      </c>
      <c r="F976" s="49">
        <v>260138.71</v>
      </c>
      <c r="G976" s="45" t="s">
        <v>36</v>
      </c>
      <c r="H976" s="50">
        <v>0</v>
      </c>
      <c r="I976" s="49">
        <v>0</v>
      </c>
      <c r="J976" s="50">
        <v>31</v>
      </c>
      <c r="K976" s="51">
        <v>8064300.0099999998</v>
      </c>
      <c r="L976" s="50">
        <v>0</v>
      </c>
      <c r="M976" s="51">
        <v>0</v>
      </c>
      <c r="N976" s="50">
        <v>0</v>
      </c>
      <c r="O976" s="51">
        <v>0</v>
      </c>
      <c r="P976" s="50">
        <v>31</v>
      </c>
      <c r="Q976" s="52">
        <v>8064300.0099999998</v>
      </c>
      <c r="S976" s="32">
        <f t="shared" si="30"/>
        <v>8064300.0099999998</v>
      </c>
      <c r="T976" s="32">
        <f t="shared" si="31"/>
        <v>0</v>
      </c>
    </row>
    <row r="977" spans="1:20" ht="14.4" x14ac:dyDescent="0.3">
      <c r="A977" s="44">
        <v>13</v>
      </c>
      <c r="B977" s="45" t="s">
        <v>1169</v>
      </c>
      <c r="C977" s="46" t="s">
        <v>349</v>
      </c>
      <c r="D977" s="47" t="s">
        <v>1170</v>
      </c>
      <c r="E977" s="48">
        <v>46844</v>
      </c>
      <c r="F977" s="49">
        <v>212850</v>
      </c>
      <c r="G977" s="45" t="s">
        <v>36</v>
      </c>
      <c r="H977" s="50">
        <v>0</v>
      </c>
      <c r="I977" s="49">
        <v>0</v>
      </c>
      <c r="J977" s="50">
        <v>10</v>
      </c>
      <c r="K977" s="51">
        <v>2128500</v>
      </c>
      <c r="L977" s="50">
        <v>0</v>
      </c>
      <c r="M977" s="51">
        <v>0</v>
      </c>
      <c r="N977" s="50">
        <v>0</v>
      </c>
      <c r="O977" s="51">
        <v>0</v>
      </c>
      <c r="P977" s="50">
        <v>10</v>
      </c>
      <c r="Q977" s="52">
        <v>2128500</v>
      </c>
      <c r="S977" s="32">
        <f t="shared" si="30"/>
        <v>2128500</v>
      </c>
      <c r="T977" s="32">
        <f t="shared" si="31"/>
        <v>0</v>
      </c>
    </row>
    <row r="978" spans="1:20" ht="14.4" x14ac:dyDescent="0.3">
      <c r="A978" s="44">
        <v>14</v>
      </c>
      <c r="B978" s="45" t="s">
        <v>1169</v>
      </c>
      <c r="C978" s="46" t="s">
        <v>349</v>
      </c>
      <c r="D978" s="47" t="s">
        <v>1171</v>
      </c>
      <c r="E978" s="48">
        <v>46874</v>
      </c>
      <c r="F978" s="49">
        <v>212850</v>
      </c>
      <c r="G978" s="45" t="s">
        <v>36</v>
      </c>
      <c r="H978" s="50">
        <v>0</v>
      </c>
      <c r="I978" s="49">
        <v>0</v>
      </c>
      <c r="J978" s="50">
        <v>10</v>
      </c>
      <c r="K978" s="51">
        <v>2128500</v>
      </c>
      <c r="L978" s="50">
        <v>0</v>
      </c>
      <c r="M978" s="51">
        <v>0</v>
      </c>
      <c r="N978" s="50">
        <v>0</v>
      </c>
      <c r="O978" s="51">
        <v>0</v>
      </c>
      <c r="P978" s="50">
        <v>10</v>
      </c>
      <c r="Q978" s="52">
        <v>2128500</v>
      </c>
      <c r="S978" s="32">
        <f t="shared" si="30"/>
        <v>2128500</v>
      </c>
      <c r="T978" s="32">
        <f t="shared" si="31"/>
        <v>0</v>
      </c>
    </row>
    <row r="979" spans="1:20" ht="14.4" x14ac:dyDescent="0.3">
      <c r="A979" s="44">
        <v>15</v>
      </c>
      <c r="B979" s="45" t="s">
        <v>1172</v>
      </c>
      <c r="C979" s="46" t="s">
        <v>38</v>
      </c>
      <c r="D979" s="47" t="s">
        <v>1173</v>
      </c>
      <c r="E979" s="48">
        <v>46235</v>
      </c>
      <c r="F979" s="49">
        <v>265300</v>
      </c>
      <c r="G979" s="45" t="s">
        <v>43</v>
      </c>
      <c r="H979" s="50">
        <v>10</v>
      </c>
      <c r="I979" s="49">
        <f>Gigi[[#This Row],[qtySaldoAwalSem1]]*Gigi[[#This Row],[hargaSatuan]]</f>
        <v>2653000</v>
      </c>
      <c r="J979" s="50">
        <v>0</v>
      </c>
      <c r="K979" s="51">
        <v>0</v>
      </c>
      <c r="L979" s="50">
        <v>10</v>
      </c>
      <c r="M979" s="51">
        <v>2653000</v>
      </c>
      <c r="N979" s="50">
        <v>0</v>
      </c>
      <c r="O979" s="51">
        <v>0</v>
      </c>
      <c r="P979" s="50">
        <v>0</v>
      </c>
      <c r="Q979" s="52">
        <v>0</v>
      </c>
      <c r="S979" s="32">
        <f t="shared" si="30"/>
        <v>0</v>
      </c>
      <c r="T979" s="32">
        <f t="shared" si="31"/>
        <v>0</v>
      </c>
    </row>
    <row r="980" spans="1:20" ht="14.4" x14ac:dyDescent="0.3">
      <c r="A980" s="44">
        <v>16</v>
      </c>
      <c r="B980" s="45" t="s">
        <v>1172</v>
      </c>
      <c r="C980" s="46" t="s">
        <v>38</v>
      </c>
      <c r="D980" s="47" t="s">
        <v>1174</v>
      </c>
      <c r="E980" s="48">
        <v>46327</v>
      </c>
      <c r="F980" s="49">
        <v>260300</v>
      </c>
      <c r="G980" s="45" t="s">
        <v>17</v>
      </c>
      <c r="H980" s="50">
        <v>40</v>
      </c>
      <c r="I980" s="49">
        <f>Gigi[[#This Row],[qtySaldoAwalSem1]]*Gigi[[#This Row],[hargaSatuan]]</f>
        <v>10412000</v>
      </c>
      <c r="J980" s="50">
        <v>0</v>
      </c>
      <c r="K980" s="51">
        <v>0</v>
      </c>
      <c r="L980" s="50">
        <v>12</v>
      </c>
      <c r="M980" s="51">
        <v>3123600</v>
      </c>
      <c r="N980" s="50">
        <v>0</v>
      </c>
      <c r="O980" s="51">
        <v>0</v>
      </c>
      <c r="P980" s="50">
        <v>28</v>
      </c>
      <c r="Q980" s="52">
        <v>7288400</v>
      </c>
      <c r="S980" s="32">
        <f t="shared" si="30"/>
        <v>7288400</v>
      </c>
      <c r="T980" s="32">
        <f t="shared" si="31"/>
        <v>0</v>
      </c>
    </row>
    <row r="981" spans="1:20" ht="14.4" x14ac:dyDescent="0.3">
      <c r="A981" s="44">
        <v>17</v>
      </c>
      <c r="B981" s="45" t="s">
        <v>1175</v>
      </c>
      <c r="C981" s="46" t="s">
        <v>1156</v>
      </c>
      <c r="D981" s="47" t="s">
        <v>1176</v>
      </c>
      <c r="E981" s="48">
        <v>46905</v>
      </c>
      <c r="F981" s="49">
        <v>215000</v>
      </c>
      <c r="G981" s="45" t="s">
        <v>36</v>
      </c>
      <c r="H981" s="50">
        <v>0</v>
      </c>
      <c r="I981" s="49">
        <v>0</v>
      </c>
      <c r="J981" s="50">
        <v>8</v>
      </c>
      <c r="K981" s="51">
        <v>1720000</v>
      </c>
      <c r="L981" s="50">
        <v>8</v>
      </c>
      <c r="M981" s="51">
        <v>1720000</v>
      </c>
      <c r="N981" s="50">
        <v>0</v>
      </c>
      <c r="O981" s="51">
        <v>0</v>
      </c>
      <c r="P981" s="50">
        <v>0</v>
      </c>
      <c r="Q981" s="52">
        <v>0</v>
      </c>
      <c r="S981" s="32">
        <f t="shared" si="30"/>
        <v>0</v>
      </c>
      <c r="T981" s="32">
        <f t="shared" si="31"/>
        <v>0</v>
      </c>
    </row>
    <row r="982" spans="1:20" ht="14.4" x14ac:dyDescent="0.3">
      <c r="A982" s="44">
        <v>18</v>
      </c>
      <c r="B982" s="45" t="s">
        <v>1177</v>
      </c>
      <c r="C982" s="46" t="s">
        <v>292</v>
      </c>
      <c r="D982" s="47" t="s">
        <v>1178</v>
      </c>
      <c r="E982" s="48">
        <v>46753</v>
      </c>
      <c r="F982" s="49">
        <v>210905.56</v>
      </c>
      <c r="G982" s="45" t="s">
        <v>36</v>
      </c>
      <c r="H982" s="50">
        <v>0</v>
      </c>
      <c r="I982" s="49">
        <v>0</v>
      </c>
      <c r="J982" s="50">
        <v>9</v>
      </c>
      <c r="K982" s="51">
        <v>1898150.04</v>
      </c>
      <c r="L982" s="50">
        <v>6</v>
      </c>
      <c r="M982" s="51">
        <v>1265433.3599999999</v>
      </c>
      <c r="N982" s="50">
        <v>0</v>
      </c>
      <c r="O982" s="51">
        <v>0</v>
      </c>
      <c r="P982" s="50">
        <v>3</v>
      </c>
      <c r="Q982" s="52">
        <v>632716.67999999993</v>
      </c>
      <c r="S982" s="32">
        <f t="shared" si="30"/>
        <v>632716.68000000017</v>
      </c>
      <c r="T982" s="32">
        <f t="shared" si="31"/>
        <v>-2.3283064365386963E-10</v>
      </c>
    </row>
    <row r="983" spans="1:20" ht="14.4" x14ac:dyDescent="0.3">
      <c r="A983" s="44">
        <v>19</v>
      </c>
      <c r="B983" s="45" t="s">
        <v>1179</v>
      </c>
      <c r="C983" s="46" t="s">
        <v>38</v>
      </c>
      <c r="D983" s="47">
        <v>2092488</v>
      </c>
      <c r="E983" s="48">
        <v>46600</v>
      </c>
      <c r="F983" s="49">
        <v>251000</v>
      </c>
      <c r="G983" s="45" t="s">
        <v>17</v>
      </c>
      <c r="H983" s="50">
        <v>262</v>
      </c>
      <c r="I983" s="49">
        <f>Gigi[[#This Row],[qtySaldoAwalSem1]]*Gigi[[#This Row],[hargaSatuan]]</f>
        <v>65762000</v>
      </c>
      <c r="J983" s="50">
        <v>0</v>
      </c>
      <c r="K983" s="51">
        <v>0</v>
      </c>
      <c r="L983" s="50">
        <v>262</v>
      </c>
      <c r="M983" s="51">
        <v>65762000</v>
      </c>
      <c r="N983" s="50">
        <v>0</v>
      </c>
      <c r="O983" s="51">
        <v>0</v>
      </c>
      <c r="P983" s="50">
        <v>0</v>
      </c>
      <c r="Q983" s="52">
        <v>0</v>
      </c>
      <c r="S983" s="32">
        <f t="shared" si="30"/>
        <v>0</v>
      </c>
      <c r="T983" s="32">
        <f t="shared" si="31"/>
        <v>0</v>
      </c>
    </row>
    <row r="984" spans="1:20" ht="14.4" x14ac:dyDescent="0.3">
      <c r="A984" s="44">
        <v>20</v>
      </c>
      <c r="B984" s="45" t="s">
        <v>1179</v>
      </c>
      <c r="C984" s="46" t="s">
        <v>38</v>
      </c>
      <c r="D984" s="47">
        <v>240924</v>
      </c>
      <c r="E984" s="48">
        <v>46631</v>
      </c>
      <c r="F984" s="49">
        <v>300000</v>
      </c>
      <c r="G984" s="45" t="s">
        <v>18</v>
      </c>
      <c r="H984" s="50">
        <v>0</v>
      </c>
      <c r="I984" s="49">
        <v>0</v>
      </c>
      <c r="J984" s="50">
        <v>70</v>
      </c>
      <c r="K984" s="51">
        <v>21000000</v>
      </c>
      <c r="L984" s="50">
        <v>70</v>
      </c>
      <c r="M984" s="51">
        <v>21000000</v>
      </c>
      <c r="N984" s="50">
        <v>0</v>
      </c>
      <c r="O984" s="51">
        <v>0</v>
      </c>
      <c r="P984" s="50">
        <v>0</v>
      </c>
      <c r="Q984" s="52">
        <v>0</v>
      </c>
      <c r="S984" s="32">
        <f t="shared" si="30"/>
        <v>0</v>
      </c>
      <c r="T984" s="32">
        <f t="shared" si="31"/>
        <v>0</v>
      </c>
    </row>
    <row r="985" spans="1:20" ht="14.4" x14ac:dyDescent="0.3">
      <c r="A985" s="44">
        <v>21</v>
      </c>
      <c r="B985" s="45" t="s">
        <v>1179</v>
      </c>
      <c r="C985" s="46" t="s">
        <v>38</v>
      </c>
      <c r="D985" s="47">
        <v>240926</v>
      </c>
      <c r="E985" s="48">
        <v>46631</v>
      </c>
      <c r="F985" s="49">
        <v>300000</v>
      </c>
      <c r="G985" s="45" t="s">
        <v>18</v>
      </c>
      <c r="H985" s="50">
        <v>0</v>
      </c>
      <c r="I985" s="49">
        <v>0</v>
      </c>
      <c r="J985" s="50">
        <v>181</v>
      </c>
      <c r="K985" s="51">
        <v>54300000</v>
      </c>
      <c r="L985" s="50">
        <v>10</v>
      </c>
      <c r="M985" s="51">
        <v>3000000</v>
      </c>
      <c r="N985" s="50">
        <v>0</v>
      </c>
      <c r="O985" s="51">
        <v>0</v>
      </c>
      <c r="P985" s="50">
        <v>171</v>
      </c>
      <c r="Q985" s="52">
        <v>51300000</v>
      </c>
      <c r="S985" s="32">
        <f t="shared" si="30"/>
        <v>51300000</v>
      </c>
      <c r="T985" s="32">
        <f t="shared" si="31"/>
        <v>0</v>
      </c>
    </row>
    <row r="986" spans="1:20" ht="14.4" x14ac:dyDescent="0.3">
      <c r="A986" s="44">
        <v>22</v>
      </c>
      <c r="B986" s="45" t="s">
        <v>1180</v>
      </c>
      <c r="C986" s="46" t="s">
        <v>778</v>
      </c>
      <c r="D986" s="47">
        <v>2504031</v>
      </c>
      <c r="E986" s="48">
        <v>46844</v>
      </c>
      <c r="F986" s="49">
        <v>808450</v>
      </c>
      <c r="G986" s="45" t="s">
        <v>36</v>
      </c>
      <c r="H986" s="50">
        <v>0</v>
      </c>
      <c r="I986" s="49">
        <v>0</v>
      </c>
      <c r="J986" s="50">
        <v>18</v>
      </c>
      <c r="K986" s="51">
        <v>14552100</v>
      </c>
      <c r="L986" s="50">
        <v>4</v>
      </c>
      <c r="M986" s="51">
        <v>3233800</v>
      </c>
      <c r="N986" s="50">
        <v>0</v>
      </c>
      <c r="O986" s="51">
        <v>0</v>
      </c>
      <c r="P986" s="50">
        <v>14</v>
      </c>
      <c r="Q986" s="52">
        <v>11318300</v>
      </c>
      <c r="S986" s="32">
        <f t="shared" si="30"/>
        <v>11318300</v>
      </c>
      <c r="T986" s="32">
        <f t="shared" si="31"/>
        <v>0</v>
      </c>
    </row>
    <row r="987" spans="1:20" ht="14.4" x14ac:dyDescent="0.3">
      <c r="A987" s="44">
        <v>23</v>
      </c>
      <c r="B987" s="45" t="s">
        <v>1181</v>
      </c>
      <c r="C987" s="46" t="s">
        <v>847</v>
      </c>
      <c r="D987" s="47">
        <v>21142</v>
      </c>
      <c r="E987" s="48">
        <v>0</v>
      </c>
      <c r="F987" s="49">
        <v>45370</v>
      </c>
      <c r="G987" s="45" t="s">
        <v>17</v>
      </c>
      <c r="H987" s="50">
        <v>7</v>
      </c>
      <c r="I987" s="49">
        <f>Gigi[[#This Row],[qtySaldoAwalSem1]]*Gigi[[#This Row],[hargaSatuan]]</f>
        <v>317590</v>
      </c>
      <c r="J987" s="50">
        <v>0</v>
      </c>
      <c r="K987" s="51">
        <v>0</v>
      </c>
      <c r="L987" s="50">
        <v>1</v>
      </c>
      <c r="M987" s="51">
        <v>45370</v>
      </c>
      <c r="N987" s="50">
        <v>0</v>
      </c>
      <c r="O987" s="51">
        <v>0</v>
      </c>
      <c r="P987" s="50">
        <v>6</v>
      </c>
      <c r="Q987" s="52">
        <v>272220</v>
      </c>
      <c r="S987" s="32">
        <f t="shared" si="30"/>
        <v>272220</v>
      </c>
      <c r="T987" s="32">
        <f t="shared" si="31"/>
        <v>0</v>
      </c>
    </row>
    <row r="988" spans="1:20" ht="14.4" x14ac:dyDescent="0.3">
      <c r="A988" s="44">
        <v>24</v>
      </c>
      <c r="B988" s="45" t="s">
        <v>1182</v>
      </c>
      <c r="C988" s="46" t="s">
        <v>847</v>
      </c>
      <c r="D988" s="47">
        <v>0</v>
      </c>
      <c r="E988" s="48">
        <v>0</v>
      </c>
      <c r="F988" s="49">
        <v>4530000</v>
      </c>
      <c r="G988" s="45" t="s">
        <v>17</v>
      </c>
      <c r="H988" s="50">
        <v>2</v>
      </c>
      <c r="I988" s="49">
        <f>Gigi[[#This Row],[qtySaldoAwalSem1]]*Gigi[[#This Row],[hargaSatuan]]</f>
        <v>9060000</v>
      </c>
      <c r="J988" s="50">
        <v>0</v>
      </c>
      <c r="K988" s="51">
        <v>0</v>
      </c>
      <c r="L988" s="50">
        <v>2</v>
      </c>
      <c r="M988" s="51">
        <v>9060000</v>
      </c>
      <c r="N988" s="50">
        <v>0</v>
      </c>
      <c r="O988" s="51">
        <v>0</v>
      </c>
      <c r="P988" s="50">
        <v>0</v>
      </c>
      <c r="Q988" s="52">
        <v>0</v>
      </c>
      <c r="S988" s="32">
        <f t="shared" si="30"/>
        <v>0</v>
      </c>
      <c r="T988" s="32">
        <f t="shared" si="31"/>
        <v>0</v>
      </c>
    </row>
    <row r="989" spans="1:20" ht="14.4" x14ac:dyDescent="0.3">
      <c r="A989" s="44">
        <v>25</v>
      </c>
      <c r="B989" s="45" t="s">
        <v>1183</v>
      </c>
      <c r="C989" s="46" t="s">
        <v>931</v>
      </c>
      <c r="D989" s="47" t="s">
        <v>1184</v>
      </c>
      <c r="E989" s="48">
        <v>46266</v>
      </c>
      <c r="F989" s="49">
        <v>115450</v>
      </c>
      <c r="G989" s="45" t="s">
        <v>43</v>
      </c>
      <c r="H989" s="50">
        <v>40</v>
      </c>
      <c r="I989" s="49">
        <f>Gigi[[#This Row],[qtySaldoAwalSem1]]*Gigi[[#This Row],[hargaSatuan]]</f>
        <v>4618000</v>
      </c>
      <c r="J989" s="50">
        <v>0</v>
      </c>
      <c r="K989" s="51">
        <v>0</v>
      </c>
      <c r="L989" s="50">
        <v>24</v>
      </c>
      <c r="M989" s="51">
        <v>2770800</v>
      </c>
      <c r="N989" s="50">
        <v>0</v>
      </c>
      <c r="O989" s="51">
        <v>0</v>
      </c>
      <c r="P989" s="50">
        <v>16</v>
      </c>
      <c r="Q989" s="52">
        <v>1847200</v>
      </c>
      <c r="S989" s="32">
        <f t="shared" si="30"/>
        <v>1847200</v>
      </c>
      <c r="T989" s="32">
        <f t="shared" si="31"/>
        <v>0</v>
      </c>
    </row>
    <row r="990" spans="1:20" ht="14.4" x14ac:dyDescent="0.3">
      <c r="A990" s="44">
        <v>26</v>
      </c>
      <c r="B990" s="45" t="s">
        <v>1185</v>
      </c>
      <c r="C990" s="46" t="s">
        <v>752</v>
      </c>
      <c r="D990" s="47">
        <v>0</v>
      </c>
      <c r="E990" s="48">
        <v>0</v>
      </c>
      <c r="F990" s="49">
        <v>216004.870588235</v>
      </c>
      <c r="G990" s="45" t="s">
        <v>54</v>
      </c>
      <c r="H990" s="50">
        <v>10</v>
      </c>
      <c r="I990" s="49">
        <f>Gigi[[#This Row],[qtySaldoAwalSem1]]*Gigi[[#This Row],[hargaSatuan]]</f>
        <v>2160048.70588235</v>
      </c>
      <c r="J990" s="50">
        <v>0</v>
      </c>
      <c r="K990" s="51">
        <v>0</v>
      </c>
      <c r="L990" s="50">
        <v>5</v>
      </c>
      <c r="M990" s="51">
        <v>1080024.3500000001</v>
      </c>
      <c r="N990" s="50">
        <v>0</v>
      </c>
      <c r="O990" s="51">
        <v>0</v>
      </c>
      <c r="P990" s="50">
        <v>5</v>
      </c>
      <c r="Q990" s="52">
        <v>1080024.3500000001</v>
      </c>
      <c r="S990" s="32">
        <f t="shared" si="30"/>
        <v>1080024.3558823499</v>
      </c>
      <c r="T990" s="32">
        <f t="shared" si="31"/>
        <v>-5.8823497965931892E-3</v>
      </c>
    </row>
    <row r="991" spans="1:20" ht="14.4" x14ac:dyDescent="0.3">
      <c r="A991" s="44">
        <v>27</v>
      </c>
      <c r="B991" s="45" t="s">
        <v>1186</v>
      </c>
      <c r="C991" s="46" t="s">
        <v>1187</v>
      </c>
      <c r="D991" s="47">
        <v>0</v>
      </c>
      <c r="E991" s="48">
        <v>0</v>
      </c>
      <c r="F991" s="49">
        <v>59346.15</v>
      </c>
      <c r="G991" s="45" t="s">
        <v>36</v>
      </c>
      <c r="H991" s="50">
        <v>0</v>
      </c>
      <c r="I991" s="49">
        <v>0</v>
      </c>
      <c r="J991" s="50">
        <v>13</v>
      </c>
      <c r="K991" s="51">
        <v>771499.95000000007</v>
      </c>
      <c r="L991" s="50">
        <v>13</v>
      </c>
      <c r="M991" s="51">
        <v>771499.95000000007</v>
      </c>
      <c r="N991" s="50">
        <v>0</v>
      </c>
      <c r="O991" s="51">
        <v>0</v>
      </c>
      <c r="P991" s="50">
        <v>0</v>
      </c>
      <c r="Q991" s="52">
        <v>0</v>
      </c>
      <c r="S991" s="32">
        <f t="shared" si="30"/>
        <v>0</v>
      </c>
      <c r="T991" s="32">
        <f t="shared" si="31"/>
        <v>0</v>
      </c>
    </row>
    <row r="992" spans="1:20" ht="14.4" x14ac:dyDescent="0.3">
      <c r="A992" s="44">
        <v>28</v>
      </c>
      <c r="B992" s="45" t="s">
        <v>1188</v>
      </c>
      <c r="C992" s="46" t="s">
        <v>1187</v>
      </c>
      <c r="D992" s="47">
        <v>0</v>
      </c>
      <c r="E992" s="48">
        <v>0</v>
      </c>
      <c r="F992" s="49">
        <v>59346.15</v>
      </c>
      <c r="G992" s="45" t="s">
        <v>36</v>
      </c>
      <c r="H992" s="50">
        <v>0</v>
      </c>
      <c r="I992" s="49">
        <v>0</v>
      </c>
      <c r="J992" s="50">
        <v>13</v>
      </c>
      <c r="K992" s="51">
        <v>771499.95000000007</v>
      </c>
      <c r="L992" s="50">
        <v>5</v>
      </c>
      <c r="M992" s="51">
        <v>296730.75</v>
      </c>
      <c r="N992" s="50">
        <v>0</v>
      </c>
      <c r="O992" s="51">
        <v>0</v>
      </c>
      <c r="P992" s="50">
        <v>8</v>
      </c>
      <c r="Q992" s="52">
        <v>474769.2</v>
      </c>
      <c r="S992" s="32">
        <f t="shared" si="30"/>
        <v>474769.20000000007</v>
      </c>
      <c r="T992" s="32">
        <f t="shared" si="31"/>
        <v>-5.8207660913467407E-11</v>
      </c>
    </row>
    <row r="993" spans="1:20" ht="14.4" x14ac:dyDescent="0.3">
      <c r="A993" s="44">
        <v>29</v>
      </c>
      <c r="B993" s="45" t="s">
        <v>1189</v>
      </c>
      <c r="C993" s="46" t="s">
        <v>38</v>
      </c>
      <c r="D993" s="47" t="s">
        <v>1190</v>
      </c>
      <c r="E993" s="48">
        <v>45748</v>
      </c>
      <c r="F993" s="49">
        <v>103745.82666666666</v>
      </c>
      <c r="G993" s="45" t="s">
        <v>54</v>
      </c>
      <c r="H993" s="50">
        <v>7</v>
      </c>
      <c r="I993" s="49">
        <f>Gigi[[#This Row],[qtySaldoAwalSem1]]*Gigi[[#This Row],[hargaSatuan]]</f>
        <v>726220.78666666662</v>
      </c>
      <c r="J993" s="50">
        <v>0</v>
      </c>
      <c r="K993" s="51">
        <v>0</v>
      </c>
      <c r="L993" s="50">
        <v>3</v>
      </c>
      <c r="M993" s="51">
        <v>311237.49</v>
      </c>
      <c r="N993" s="50">
        <v>4</v>
      </c>
      <c r="O993" s="51">
        <v>414983.32</v>
      </c>
      <c r="P993" s="50">
        <v>0</v>
      </c>
      <c r="Q993" s="52">
        <v>0</v>
      </c>
      <c r="S993" s="32">
        <f t="shared" si="30"/>
        <v>-2.3333333432674408E-2</v>
      </c>
      <c r="T993" s="32">
        <f t="shared" si="31"/>
        <v>2.3333333432674408E-2</v>
      </c>
    </row>
    <row r="994" spans="1:20" ht="14.4" x14ac:dyDescent="0.3">
      <c r="A994" s="44">
        <v>30</v>
      </c>
      <c r="B994" s="45" t="s">
        <v>1191</v>
      </c>
      <c r="C994" s="46" t="s">
        <v>38</v>
      </c>
      <c r="D994" s="47" t="s">
        <v>1192</v>
      </c>
      <c r="E994" s="48">
        <v>45778</v>
      </c>
      <c r="F994" s="49">
        <v>263929.88750000001</v>
      </c>
      <c r="G994" s="45" t="s">
        <v>54</v>
      </c>
      <c r="H994" s="50">
        <v>14</v>
      </c>
      <c r="I994" s="49">
        <f>Gigi[[#This Row],[qtySaldoAwalSem1]]*Gigi[[#This Row],[hargaSatuan]]</f>
        <v>3695018.4250000003</v>
      </c>
      <c r="J994" s="50">
        <v>0</v>
      </c>
      <c r="K994" s="51">
        <v>0</v>
      </c>
      <c r="L994" s="50">
        <v>0</v>
      </c>
      <c r="M994" s="51">
        <v>0</v>
      </c>
      <c r="N994" s="50">
        <v>14</v>
      </c>
      <c r="O994" s="51">
        <v>3695018.46</v>
      </c>
      <c r="P994" s="50">
        <v>0</v>
      </c>
      <c r="Q994" s="52">
        <v>0</v>
      </c>
      <c r="S994" s="32">
        <f t="shared" si="30"/>
        <v>-3.4999999683350325E-2</v>
      </c>
      <c r="T994" s="32">
        <f t="shared" si="31"/>
        <v>3.4999999683350325E-2</v>
      </c>
    </row>
    <row r="995" spans="1:20" ht="14.4" x14ac:dyDescent="0.3">
      <c r="A995" s="44">
        <v>31</v>
      </c>
      <c r="B995" s="45" t="s">
        <v>1193</v>
      </c>
      <c r="C995" s="46" t="s">
        <v>349</v>
      </c>
      <c r="D995" s="47" t="s">
        <v>1194</v>
      </c>
      <c r="E995" s="48">
        <v>46784</v>
      </c>
      <c r="F995" s="49">
        <v>313800</v>
      </c>
      <c r="G995" s="45" t="s">
        <v>36</v>
      </c>
      <c r="H995" s="50">
        <v>0</v>
      </c>
      <c r="I995" s="49">
        <v>0</v>
      </c>
      <c r="J995" s="50">
        <v>20</v>
      </c>
      <c r="K995" s="51">
        <v>6276000</v>
      </c>
      <c r="L995" s="50">
        <v>11</v>
      </c>
      <c r="M995" s="51">
        <v>3451800</v>
      </c>
      <c r="N995" s="50">
        <v>0</v>
      </c>
      <c r="O995" s="51">
        <v>0</v>
      </c>
      <c r="P995" s="50">
        <v>9</v>
      </c>
      <c r="Q995" s="52">
        <v>2824200</v>
      </c>
      <c r="S995" s="32">
        <f t="shared" si="30"/>
        <v>2824200</v>
      </c>
      <c r="T995" s="32">
        <f t="shared" si="31"/>
        <v>0</v>
      </c>
    </row>
    <row r="996" spans="1:20" ht="14.4" x14ac:dyDescent="0.3">
      <c r="A996" s="44">
        <v>32</v>
      </c>
      <c r="B996" s="45" t="s">
        <v>1195</v>
      </c>
      <c r="C996" s="46" t="s">
        <v>847</v>
      </c>
      <c r="D996" s="47">
        <v>0</v>
      </c>
      <c r="E996" s="48">
        <v>0</v>
      </c>
      <c r="F996" s="49">
        <v>38500</v>
      </c>
      <c r="G996" s="45" t="s">
        <v>17</v>
      </c>
      <c r="H996" s="50">
        <v>89</v>
      </c>
      <c r="I996" s="49">
        <f>Gigi[[#This Row],[qtySaldoAwalSem1]]*Gigi[[#This Row],[hargaSatuan]]</f>
        <v>3426500</v>
      </c>
      <c r="J996" s="50">
        <v>0</v>
      </c>
      <c r="K996" s="51">
        <v>0</v>
      </c>
      <c r="L996" s="50">
        <v>29</v>
      </c>
      <c r="M996" s="51">
        <v>1116500</v>
      </c>
      <c r="N996" s="50">
        <v>0</v>
      </c>
      <c r="O996" s="51">
        <v>0</v>
      </c>
      <c r="P996" s="50">
        <v>60</v>
      </c>
      <c r="Q996" s="52">
        <v>2310000</v>
      </c>
      <c r="S996" s="32">
        <f t="shared" si="30"/>
        <v>2310000</v>
      </c>
      <c r="T996" s="32">
        <f t="shared" si="31"/>
        <v>0</v>
      </c>
    </row>
    <row r="997" spans="1:20" ht="14.4" x14ac:dyDescent="0.3">
      <c r="A997" s="44">
        <v>33</v>
      </c>
      <c r="B997" s="45" t="s">
        <v>1195</v>
      </c>
      <c r="C997" s="46" t="s">
        <v>847</v>
      </c>
      <c r="D997" s="47">
        <v>10522</v>
      </c>
      <c r="E997" s="48">
        <v>46113</v>
      </c>
      <c r="F997" s="49">
        <v>62193.68</v>
      </c>
      <c r="G997" s="45" t="s">
        <v>54</v>
      </c>
      <c r="H997" s="50">
        <v>23</v>
      </c>
      <c r="I997" s="49">
        <f>Gigi[[#This Row],[qtySaldoAwalSem1]]*Gigi[[#This Row],[hargaSatuan]]</f>
        <v>1430454.64</v>
      </c>
      <c r="J997" s="50">
        <v>0</v>
      </c>
      <c r="K997" s="51">
        <v>0</v>
      </c>
      <c r="L997" s="50">
        <v>17</v>
      </c>
      <c r="M997" s="51">
        <v>1057292.56</v>
      </c>
      <c r="N997" s="50">
        <v>0</v>
      </c>
      <c r="O997" s="51">
        <v>0</v>
      </c>
      <c r="P997" s="50">
        <v>6</v>
      </c>
      <c r="Q997" s="52">
        <v>373162.08</v>
      </c>
      <c r="S997" s="32">
        <f t="shared" si="30"/>
        <v>373162.07999999984</v>
      </c>
      <c r="T997" s="32">
        <f t="shared" si="31"/>
        <v>1.7462298274040222E-10</v>
      </c>
    </row>
    <row r="998" spans="1:20" ht="14.4" x14ac:dyDescent="0.3">
      <c r="A998" s="44">
        <v>34</v>
      </c>
      <c r="B998" s="45" t="s">
        <v>1196</v>
      </c>
      <c r="C998" s="46" t="s">
        <v>349</v>
      </c>
      <c r="D998" s="47" t="s">
        <v>1197</v>
      </c>
      <c r="E998" s="48">
        <v>46905</v>
      </c>
      <c r="F998" s="49">
        <v>85737.94</v>
      </c>
      <c r="G998" s="45" t="s">
        <v>36</v>
      </c>
      <c r="H998" s="50">
        <v>0</v>
      </c>
      <c r="I998" s="49">
        <v>0</v>
      </c>
      <c r="J998" s="50">
        <v>17</v>
      </c>
      <c r="K998" s="51">
        <v>1457544.98</v>
      </c>
      <c r="L998" s="50">
        <v>0</v>
      </c>
      <c r="M998" s="51">
        <v>0</v>
      </c>
      <c r="N998" s="50">
        <v>0</v>
      </c>
      <c r="O998" s="51">
        <v>0</v>
      </c>
      <c r="P998" s="50">
        <v>17</v>
      </c>
      <c r="Q998" s="52">
        <v>1457544.98</v>
      </c>
      <c r="S998" s="32">
        <f t="shared" si="30"/>
        <v>1457544.98</v>
      </c>
      <c r="T998" s="32">
        <f t="shared" si="31"/>
        <v>0</v>
      </c>
    </row>
    <row r="999" spans="1:20" ht="14.4" x14ac:dyDescent="0.3">
      <c r="A999" s="44">
        <v>35</v>
      </c>
      <c r="B999" s="45" t="s">
        <v>1196</v>
      </c>
      <c r="C999" s="46" t="s">
        <v>349</v>
      </c>
      <c r="D999" s="47" t="s">
        <v>1198</v>
      </c>
      <c r="E999" s="48">
        <v>46784</v>
      </c>
      <c r="F999" s="49">
        <v>71600</v>
      </c>
      <c r="G999" s="45" t="s">
        <v>36</v>
      </c>
      <c r="H999" s="50">
        <v>0</v>
      </c>
      <c r="I999" s="49">
        <v>0</v>
      </c>
      <c r="J999" s="50">
        <v>16</v>
      </c>
      <c r="K999" s="51">
        <v>1145600</v>
      </c>
      <c r="L999" s="50">
        <v>13</v>
      </c>
      <c r="M999" s="51">
        <v>930800</v>
      </c>
      <c r="N999" s="50">
        <v>0</v>
      </c>
      <c r="O999" s="51">
        <v>0</v>
      </c>
      <c r="P999" s="50">
        <v>3</v>
      </c>
      <c r="Q999" s="52">
        <v>214800</v>
      </c>
      <c r="S999" s="32">
        <f t="shared" si="30"/>
        <v>214800</v>
      </c>
      <c r="T999" s="32">
        <f t="shared" si="31"/>
        <v>0</v>
      </c>
    </row>
    <row r="1000" spans="1:20" ht="14.4" x14ac:dyDescent="0.3">
      <c r="A1000" s="44">
        <v>36</v>
      </c>
      <c r="B1000" s="45" t="s">
        <v>1199</v>
      </c>
      <c r="C1000" s="46" t="s">
        <v>408</v>
      </c>
      <c r="D1000" s="47">
        <v>12328062</v>
      </c>
      <c r="E1000" s="48">
        <v>46935</v>
      </c>
      <c r="F1000" s="49">
        <v>768387.93</v>
      </c>
      <c r="G1000" s="45" t="s">
        <v>36</v>
      </c>
      <c r="H1000" s="50">
        <v>0</v>
      </c>
      <c r="I1000" s="49">
        <v>0</v>
      </c>
      <c r="J1000" s="50">
        <v>15</v>
      </c>
      <c r="K1000" s="51">
        <v>11525818.950000001</v>
      </c>
      <c r="L1000" s="50">
        <v>0</v>
      </c>
      <c r="M1000" s="51">
        <v>0</v>
      </c>
      <c r="N1000" s="50">
        <v>0</v>
      </c>
      <c r="O1000" s="51">
        <v>0</v>
      </c>
      <c r="P1000" s="50">
        <v>15</v>
      </c>
      <c r="Q1000" s="52">
        <v>11525818.950000001</v>
      </c>
      <c r="S1000" s="32">
        <f t="shared" si="30"/>
        <v>11525818.950000001</v>
      </c>
      <c r="T1000" s="32">
        <f t="shared" si="31"/>
        <v>0</v>
      </c>
    </row>
    <row r="1001" spans="1:20" ht="14.4" x14ac:dyDescent="0.3">
      <c r="A1001" s="44">
        <v>37</v>
      </c>
      <c r="B1001" s="45" t="s">
        <v>1199</v>
      </c>
      <c r="C1001" s="46" t="s">
        <v>408</v>
      </c>
      <c r="D1001" s="47">
        <v>12129275</v>
      </c>
      <c r="E1001" s="48">
        <v>46905</v>
      </c>
      <c r="F1001" s="49">
        <v>791800</v>
      </c>
      <c r="G1001" s="45" t="s">
        <v>36</v>
      </c>
      <c r="H1001" s="50">
        <v>0</v>
      </c>
      <c r="I1001" s="49">
        <v>0</v>
      </c>
      <c r="J1001" s="50">
        <v>10</v>
      </c>
      <c r="K1001" s="51">
        <v>7918000</v>
      </c>
      <c r="L1001" s="50">
        <v>8</v>
      </c>
      <c r="M1001" s="51">
        <v>6334400</v>
      </c>
      <c r="N1001" s="50">
        <v>0</v>
      </c>
      <c r="O1001" s="51">
        <v>0</v>
      </c>
      <c r="P1001" s="50">
        <v>2</v>
      </c>
      <c r="Q1001" s="52">
        <v>1583600</v>
      </c>
      <c r="S1001" s="32">
        <f t="shared" si="30"/>
        <v>1583600</v>
      </c>
      <c r="T1001" s="32">
        <f t="shared" si="31"/>
        <v>0</v>
      </c>
    </row>
    <row r="1002" spans="1:20" ht="14.4" x14ac:dyDescent="0.3">
      <c r="A1002" s="44">
        <v>38</v>
      </c>
      <c r="B1002" s="45" t="s">
        <v>1199</v>
      </c>
      <c r="C1002" s="46" t="s">
        <v>408</v>
      </c>
      <c r="D1002" s="47">
        <v>11224227</v>
      </c>
      <c r="E1002" s="48">
        <v>46569</v>
      </c>
      <c r="F1002" s="49">
        <v>791800</v>
      </c>
      <c r="G1002" s="45" t="s">
        <v>36</v>
      </c>
      <c r="H1002" s="50">
        <v>0</v>
      </c>
      <c r="I1002" s="49">
        <v>0</v>
      </c>
      <c r="J1002" s="50">
        <v>5</v>
      </c>
      <c r="K1002" s="51">
        <v>3959000</v>
      </c>
      <c r="L1002" s="50">
        <v>5</v>
      </c>
      <c r="M1002" s="51">
        <v>3959000</v>
      </c>
      <c r="N1002" s="50">
        <v>0</v>
      </c>
      <c r="O1002" s="51">
        <v>0</v>
      </c>
      <c r="P1002" s="50">
        <v>0</v>
      </c>
      <c r="Q1002" s="52">
        <v>0</v>
      </c>
      <c r="S1002" s="32">
        <f t="shared" si="30"/>
        <v>0</v>
      </c>
      <c r="T1002" s="32">
        <f t="shared" si="31"/>
        <v>0</v>
      </c>
    </row>
    <row r="1003" spans="1:20" ht="14.4" x14ac:dyDescent="0.3">
      <c r="A1003" s="44">
        <v>39</v>
      </c>
      <c r="B1003" s="45" t="s">
        <v>1200</v>
      </c>
      <c r="C1003" s="46" t="s">
        <v>847</v>
      </c>
      <c r="D1003" s="47" t="s">
        <v>1201</v>
      </c>
      <c r="E1003" s="48">
        <v>46235</v>
      </c>
      <c r="F1003" s="49">
        <v>212168</v>
      </c>
      <c r="G1003" s="45" t="s">
        <v>43</v>
      </c>
      <c r="H1003" s="50">
        <v>27</v>
      </c>
      <c r="I1003" s="49">
        <f>Gigi[[#This Row],[qtySaldoAwalSem1]]*Gigi[[#This Row],[hargaSatuan]]</f>
        <v>5728536</v>
      </c>
      <c r="J1003" s="50">
        <v>0</v>
      </c>
      <c r="K1003" s="51">
        <v>0</v>
      </c>
      <c r="L1003" s="50">
        <v>27</v>
      </c>
      <c r="M1003" s="51">
        <v>5728536</v>
      </c>
      <c r="N1003" s="50">
        <v>0</v>
      </c>
      <c r="O1003" s="51">
        <v>0</v>
      </c>
      <c r="P1003" s="50">
        <v>0</v>
      </c>
      <c r="Q1003" s="52">
        <v>0</v>
      </c>
      <c r="S1003" s="32">
        <f t="shared" si="30"/>
        <v>0</v>
      </c>
      <c r="T1003" s="32">
        <f t="shared" si="31"/>
        <v>0</v>
      </c>
    </row>
    <row r="1004" spans="1:20" ht="14.4" x14ac:dyDescent="0.3">
      <c r="A1004" s="44">
        <v>40</v>
      </c>
      <c r="B1004" s="45" t="s">
        <v>1202</v>
      </c>
      <c r="C1004" s="46" t="s">
        <v>408</v>
      </c>
      <c r="D1004" s="47">
        <v>12506450</v>
      </c>
      <c r="E1004" s="48">
        <v>46966</v>
      </c>
      <c r="F1004" s="49">
        <v>1254567.92</v>
      </c>
      <c r="G1004" s="45" t="s">
        <v>36</v>
      </c>
      <c r="H1004" s="50">
        <v>0</v>
      </c>
      <c r="I1004" s="49">
        <v>0</v>
      </c>
      <c r="J1004" s="50">
        <v>25</v>
      </c>
      <c r="K1004" s="51">
        <v>31364198</v>
      </c>
      <c r="L1004" s="50">
        <v>0</v>
      </c>
      <c r="M1004" s="51">
        <v>0</v>
      </c>
      <c r="N1004" s="50">
        <v>0</v>
      </c>
      <c r="O1004" s="51">
        <v>0</v>
      </c>
      <c r="P1004" s="50">
        <v>25</v>
      </c>
      <c r="Q1004" s="52">
        <v>31364198</v>
      </c>
      <c r="S1004" s="32">
        <f t="shared" si="30"/>
        <v>31364198</v>
      </c>
      <c r="T1004" s="32">
        <f t="shared" si="31"/>
        <v>0</v>
      </c>
    </row>
    <row r="1005" spans="1:20" ht="14.4" x14ac:dyDescent="0.3">
      <c r="A1005" s="44">
        <v>41</v>
      </c>
      <c r="B1005" s="45" t="s">
        <v>1202</v>
      </c>
      <c r="C1005" s="46" t="s">
        <v>408</v>
      </c>
      <c r="D1005" s="47">
        <v>11651973</v>
      </c>
      <c r="E1005" s="48">
        <v>46388</v>
      </c>
      <c r="F1005" s="49">
        <v>1307300</v>
      </c>
      <c r="G1005" s="45" t="s">
        <v>36</v>
      </c>
      <c r="H1005" s="50">
        <v>0</v>
      </c>
      <c r="I1005" s="49">
        <v>0</v>
      </c>
      <c r="J1005" s="50">
        <v>22</v>
      </c>
      <c r="K1005" s="51">
        <v>28760600</v>
      </c>
      <c r="L1005" s="50">
        <v>17</v>
      </c>
      <c r="M1005" s="51">
        <v>22224100</v>
      </c>
      <c r="N1005" s="50">
        <v>0</v>
      </c>
      <c r="O1005" s="51">
        <v>0</v>
      </c>
      <c r="P1005" s="50">
        <v>5</v>
      </c>
      <c r="Q1005" s="52">
        <v>6536500</v>
      </c>
      <c r="S1005" s="32">
        <f t="shared" si="30"/>
        <v>6536500</v>
      </c>
      <c r="T1005" s="32">
        <f t="shared" si="31"/>
        <v>0</v>
      </c>
    </row>
    <row r="1006" spans="1:20" ht="14.4" x14ac:dyDescent="0.3">
      <c r="A1006" s="44">
        <v>42</v>
      </c>
      <c r="B1006" s="45" t="s">
        <v>1203</v>
      </c>
      <c r="C1006" s="46" t="s">
        <v>1204</v>
      </c>
      <c r="D1006" s="47">
        <v>525014</v>
      </c>
      <c r="E1006" s="48">
        <v>46844</v>
      </c>
      <c r="F1006" s="49">
        <v>118216.67</v>
      </c>
      <c r="G1006" s="45" t="s">
        <v>36</v>
      </c>
      <c r="H1006" s="50">
        <v>0</v>
      </c>
      <c r="I1006" s="49">
        <v>0</v>
      </c>
      <c r="J1006" s="50">
        <v>120</v>
      </c>
      <c r="K1006" s="51">
        <v>14186000.4</v>
      </c>
      <c r="L1006" s="50">
        <v>99</v>
      </c>
      <c r="M1006" s="51">
        <v>11703450.33</v>
      </c>
      <c r="N1006" s="50">
        <v>0</v>
      </c>
      <c r="O1006" s="51">
        <v>0</v>
      </c>
      <c r="P1006" s="50">
        <v>21</v>
      </c>
      <c r="Q1006" s="52">
        <v>2482550.0699999998</v>
      </c>
      <c r="S1006" s="32">
        <f t="shared" si="30"/>
        <v>2482550.0700000003</v>
      </c>
      <c r="T1006" s="32">
        <f t="shared" si="31"/>
        <v>-4.6566128730773926E-10</v>
      </c>
    </row>
    <row r="1007" spans="1:20" ht="14.4" x14ac:dyDescent="0.3">
      <c r="A1007" s="44">
        <v>43</v>
      </c>
      <c r="B1007" s="45" t="s">
        <v>1205</v>
      </c>
      <c r="C1007" s="46" t="s">
        <v>349</v>
      </c>
      <c r="D1007" s="47" t="s">
        <v>1206</v>
      </c>
      <c r="E1007" s="48">
        <v>46631</v>
      </c>
      <c r="F1007" s="49">
        <v>77150</v>
      </c>
      <c r="G1007" s="45" t="s">
        <v>36</v>
      </c>
      <c r="H1007" s="50">
        <v>0</v>
      </c>
      <c r="I1007" s="49">
        <v>0</v>
      </c>
      <c r="J1007" s="50">
        <v>12</v>
      </c>
      <c r="K1007" s="51">
        <v>925800</v>
      </c>
      <c r="L1007" s="50">
        <v>12</v>
      </c>
      <c r="M1007" s="51">
        <v>925800</v>
      </c>
      <c r="N1007" s="50">
        <v>0</v>
      </c>
      <c r="O1007" s="51">
        <v>0</v>
      </c>
      <c r="P1007" s="50">
        <v>0</v>
      </c>
      <c r="Q1007" s="52">
        <v>0</v>
      </c>
      <c r="S1007" s="32">
        <f t="shared" si="30"/>
        <v>0</v>
      </c>
      <c r="T1007" s="32">
        <f t="shared" si="31"/>
        <v>0</v>
      </c>
    </row>
    <row r="1008" spans="1:20" ht="14.4" x14ac:dyDescent="0.3">
      <c r="A1008" s="59">
        <v>44</v>
      </c>
      <c r="B1008" s="60" t="s">
        <v>1205</v>
      </c>
      <c r="C1008" s="61" t="s">
        <v>349</v>
      </c>
      <c r="D1008" s="62" t="s">
        <v>1207</v>
      </c>
      <c r="E1008" s="63">
        <v>46753</v>
      </c>
      <c r="F1008" s="64">
        <v>77150</v>
      </c>
      <c r="G1008" s="60" t="s">
        <v>36</v>
      </c>
      <c r="H1008" s="65">
        <v>0</v>
      </c>
      <c r="I1008" s="64">
        <v>0</v>
      </c>
      <c r="J1008" s="65">
        <v>8</v>
      </c>
      <c r="K1008" s="97">
        <v>617200</v>
      </c>
      <c r="L1008" s="65">
        <v>3</v>
      </c>
      <c r="M1008" s="97">
        <v>231450</v>
      </c>
      <c r="N1008" s="65">
        <v>0</v>
      </c>
      <c r="O1008" s="97">
        <v>0</v>
      </c>
      <c r="P1008" s="65">
        <v>5</v>
      </c>
      <c r="Q1008" s="111">
        <v>385750</v>
      </c>
      <c r="S1008" s="32">
        <f t="shared" si="30"/>
        <v>385750</v>
      </c>
      <c r="T1008" s="32">
        <f t="shared" si="31"/>
        <v>0</v>
      </c>
    </row>
  </sheetData>
  <mergeCells count="15">
    <mergeCell ref="P2:Q5"/>
    <mergeCell ref="J4:K5"/>
    <mergeCell ref="L4:M5"/>
    <mergeCell ref="N4:O5"/>
    <mergeCell ref="U7:U14"/>
    <mergeCell ref="A1:Q1"/>
    <mergeCell ref="A2:A6"/>
    <mergeCell ref="B2:B6"/>
    <mergeCell ref="C2:C6"/>
    <mergeCell ref="D2:D6"/>
    <mergeCell ref="E2:E6"/>
    <mergeCell ref="F2:F6"/>
    <mergeCell ref="G2:G6"/>
    <mergeCell ref="H2:I5"/>
    <mergeCell ref="J2:O3"/>
  </mergeCells>
  <conditionalFormatting sqref="J1:Q818 H1:I962 A1:F963 R60 J819:J954 L819:L954 N819:N954 K819:K962 M819:M962 O819:Q962 R835 H965:I1008">
    <cfRule type="cellIs" dxfId="2" priority="1" operator="lessThan">
      <formula>0</formula>
    </cfRule>
  </conditionalFormatting>
  <conditionalFormatting sqref="W56 U60:V60 X60:BG60 W831 U835:V835 X835:BG835">
    <cfRule type="cellIs" dxfId="1" priority="2" operator="lessThan">
      <formula>0</formula>
    </cfRule>
  </conditionalFormatting>
  <conditionalFormatting sqref="AF835 AK835 F60 K60 P60 F835">
    <cfRule type="containsBlanks" dxfId="0" priority="3">
      <formula>LEN(TRIM(F60))=0</formula>
    </cfRule>
  </conditionalFormatting>
  <pageMargins left="0.7" right="0.7" top="0.75" bottom="0.75" header="0.3" footer="0.3"/>
  <pageSetup paperSize="9" orientation="portrait" r:id="rId1"/>
  <legacyDrawing r:id="rId2"/>
  <tableParts count="10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F5070-0CB3-4DB1-BCB7-F205EFB076AB}">
  <dimension ref="B2:C11"/>
  <sheetViews>
    <sheetView tabSelected="1" workbookViewId="0">
      <selection activeCell="C10" sqref="C10"/>
    </sheetView>
  </sheetViews>
  <sheetFormatPr defaultRowHeight="14.4" x14ac:dyDescent="0.3"/>
  <cols>
    <col min="3" max="3" width="24.44140625" bestFit="1" customWidth="1"/>
  </cols>
  <sheetData>
    <row r="2" spans="2:3" x14ac:dyDescent="0.3">
      <c r="B2" t="s">
        <v>1208</v>
      </c>
      <c r="C2" t="s">
        <v>16</v>
      </c>
    </row>
    <row r="3" spans="2:3" x14ac:dyDescent="0.3">
      <c r="B3" t="s">
        <v>1209</v>
      </c>
      <c r="C3" t="s">
        <v>406</v>
      </c>
    </row>
    <row r="4" spans="2:3" x14ac:dyDescent="0.3">
      <c r="B4" t="s">
        <v>1210</v>
      </c>
      <c r="C4" t="s">
        <v>503</v>
      </c>
    </row>
    <row r="5" spans="2:3" x14ac:dyDescent="0.3">
      <c r="B5" t="s">
        <v>1211</v>
      </c>
      <c r="C5" t="s">
        <v>523</v>
      </c>
    </row>
    <row r="6" spans="2:3" x14ac:dyDescent="0.3">
      <c r="B6" t="s">
        <v>1212</v>
      </c>
      <c r="C6" t="s">
        <v>566</v>
      </c>
    </row>
    <row r="7" spans="2:3" x14ac:dyDescent="0.3">
      <c r="B7" t="s">
        <v>1213</v>
      </c>
      <c r="C7" t="s">
        <v>627</v>
      </c>
    </row>
    <row r="8" spans="2:3" x14ac:dyDescent="0.3">
      <c r="B8" t="s">
        <v>1214</v>
      </c>
      <c r="C8" t="s">
        <v>665</v>
      </c>
    </row>
    <row r="9" spans="2:3" x14ac:dyDescent="0.3">
      <c r="B9" t="s">
        <v>748</v>
      </c>
      <c r="C9" t="s">
        <v>748</v>
      </c>
    </row>
    <row r="10" spans="2:3" x14ac:dyDescent="0.3">
      <c r="B10" t="s">
        <v>1215</v>
      </c>
      <c r="C10" t="s">
        <v>954</v>
      </c>
    </row>
    <row r="11" spans="2:3" x14ac:dyDescent="0.3">
      <c r="B11" t="s">
        <v>1216</v>
      </c>
      <c r="C11" t="s">
        <v>1154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DATA-MASTER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Hatami Bukhari</dc:creator>
  <cp:lastModifiedBy>Hatami Bukhari</cp:lastModifiedBy>
  <dcterms:created xsi:type="dcterms:W3CDTF">2026-02-24T06:51:00Z</dcterms:created>
  <dcterms:modified xsi:type="dcterms:W3CDTF">2026-02-24T07:46:59Z</dcterms:modified>
</cp:coreProperties>
</file>